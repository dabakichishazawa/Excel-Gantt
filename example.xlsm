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filterPrivacy="1" codeName="ThisWorkbook"/>
  <xr:revisionPtr revIDLastSave="0" documentId="13_ncr:1_{A1E49579-C29C-43A9-87F6-D7AD97AE68C4}" xr6:coauthVersionLast="45" xr6:coauthVersionMax="45" xr10:uidLastSave="{00000000-0000-0000-0000-000000000000}"/>
  <bookViews>
    <workbookView xWindow="20820" yWindow="3195" windowWidth="29010" windowHeight="16140" xr2:uid="{BC832EB0-FE5A-4226-A695-C655E6CF4250}"/>
  </bookViews>
  <sheets>
    <sheet name="Gantt" sheetId="11" r:id="rId1"/>
    <sheet name="祝日" sheetId="13" r:id="rId2"/>
    <sheet name="Calendar" sheetId="16" r:id="rId3"/>
    <sheet name="Calendar (土日だけ休み)" sheetId="21" r:id="rId4"/>
    <sheet name="Calendar (休みなし)" sheetId="20" r:id="rId5"/>
  </sheets>
  <functionGroups builtInGroupCount="19"/>
  <definedNames>
    <definedName name="Project_Start">Gantt!$J$2</definedName>
    <definedName name="Scrolling_Increment">Gantt!$J$4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O32" i="11" l="1"/>
  <c r="BN32" i="11"/>
  <c r="BM32" i="11"/>
  <c r="BL32" i="11"/>
  <c r="BK32" i="11"/>
  <c r="BJ32" i="11"/>
  <c r="BI32" i="11"/>
  <c r="BH32" i="11"/>
  <c r="BG32" i="11"/>
  <c r="BF32" i="11"/>
  <c r="BE32" i="11"/>
  <c r="BD32" i="11"/>
  <c r="BC32" i="11"/>
  <c r="BB32" i="11"/>
  <c r="BA32" i="11"/>
  <c r="AZ32" i="11"/>
  <c r="AY32" i="11"/>
  <c r="AX32" i="11"/>
  <c r="AW32" i="11"/>
  <c r="AV32" i="11"/>
  <c r="AU32" i="11"/>
  <c r="AT32" i="11"/>
  <c r="AS32" i="11"/>
  <c r="AR32" i="11"/>
  <c r="AQ32" i="11"/>
  <c r="AP32" i="11"/>
  <c r="AO32" i="11"/>
  <c r="AN32" i="11"/>
  <c r="AM32" i="11"/>
  <c r="AL32" i="11"/>
  <c r="AK32" i="11"/>
  <c r="AJ32" i="11"/>
  <c r="AI32" i="11"/>
  <c r="AH32" i="11"/>
  <c r="AG32" i="11"/>
  <c r="AF32" i="11"/>
  <c r="AE32" i="11"/>
  <c r="AD32" i="11"/>
  <c r="AC32" i="11"/>
  <c r="AB32" i="11"/>
  <c r="AA32" i="11"/>
  <c r="Z32" i="11"/>
  <c r="Y32" i="11"/>
  <c r="X32" i="11"/>
  <c r="W32" i="11"/>
  <c r="V32" i="11"/>
  <c r="U32" i="11"/>
  <c r="T32" i="11"/>
  <c r="S32" i="11"/>
  <c r="R32" i="11"/>
  <c r="Q32" i="11"/>
  <c r="P32" i="11"/>
  <c r="O32" i="11"/>
  <c r="N32" i="11"/>
  <c r="M32" i="11"/>
  <c r="L32" i="11"/>
  <c r="BO31" i="11"/>
  <c r="BN31" i="11"/>
  <c r="BM31" i="11"/>
  <c r="BL31" i="11"/>
  <c r="BK31" i="11"/>
  <c r="BJ31" i="11"/>
  <c r="BI31" i="11"/>
  <c r="BH31" i="11"/>
  <c r="BG31" i="11"/>
  <c r="BF31" i="11"/>
  <c r="BE31" i="11"/>
  <c r="BD31" i="11"/>
  <c r="BC31" i="11"/>
  <c r="BB31" i="11"/>
  <c r="BA31" i="11"/>
  <c r="AZ31" i="11"/>
  <c r="AY31" i="11"/>
  <c r="AX31" i="11"/>
  <c r="AW31" i="11"/>
  <c r="AV31" i="11"/>
  <c r="AU31" i="11"/>
  <c r="AT31" i="11"/>
  <c r="AS31" i="11"/>
  <c r="AR31" i="11"/>
  <c r="AQ31" i="11"/>
  <c r="AP31" i="11"/>
  <c r="AO31" i="11"/>
  <c r="AN31" i="11"/>
  <c r="AM31" i="11"/>
  <c r="AL31" i="11"/>
  <c r="AK31" i="11"/>
  <c r="AJ31" i="11"/>
  <c r="AI31" i="11"/>
  <c r="AH31" i="11"/>
  <c r="AG31" i="11"/>
  <c r="AF31" i="11"/>
  <c r="AE31" i="11"/>
  <c r="AD31" i="11"/>
  <c r="AC31" i="11"/>
  <c r="AB31" i="11"/>
  <c r="AA31" i="11"/>
  <c r="Z31" i="11"/>
  <c r="Y31" i="11"/>
  <c r="X31" i="11"/>
  <c r="W31" i="11"/>
  <c r="V31" i="11"/>
  <c r="U31" i="11"/>
  <c r="T31" i="11"/>
  <c r="S31" i="11"/>
  <c r="R31" i="11"/>
  <c r="Q31" i="11"/>
  <c r="P31" i="11"/>
  <c r="O31" i="11"/>
  <c r="N31" i="11"/>
  <c r="M31" i="11"/>
  <c r="L31" i="11"/>
  <c r="BO30" i="11"/>
  <c r="BN30" i="11"/>
  <c r="BM30" i="11"/>
  <c r="BL30" i="11"/>
  <c r="BK30" i="11"/>
  <c r="BJ30" i="11"/>
  <c r="BI30" i="11"/>
  <c r="BH30" i="11"/>
  <c r="BG30" i="11"/>
  <c r="BF30" i="11"/>
  <c r="BE30" i="11"/>
  <c r="BD30" i="11"/>
  <c r="BC30" i="11"/>
  <c r="BB30" i="11"/>
  <c r="BA30" i="11"/>
  <c r="AZ30" i="11"/>
  <c r="AY30" i="11"/>
  <c r="AX30" i="11"/>
  <c r="AW30" i="11"/>
  <c r="AV30" i="11"/>
  <c r="AU30" i="11"/>
  <c r="AT30" i="11"/>
  <c r="AS30" i="11"/>
  <c r="AR30" i="11"/>
  <c r="AQ30" i="11"/>
  <c r="AP30" i="11"/>
  <c r="AO30" i="11"/>
  <c r="AN30" i="11"/>
  <c r="AM30" i="11"/>
  <c r="AL30" i="11"/>
  <c r="AK30" i="11"/>
  <c r="AJ30" i="11"/>
  <c r="AI30" i="11"/>
  <c r="AH30" i="11"/>
  <c r="AG30" i="11"/>
  <c r="AF30" i="11"/>
  <c r="AE30" i="11"/>
  <c r="AD30" i="11"/>
  <c r="AC30" i="11"/>
  <c r="AB30" i="11"/>
  <c r="AA30" i="11"/>
  <c r="Z30" i="11"/>
  <c r="Y30" i="11"/>
  <c r="X30" i="11"/>
  <c r="W30" i="11"/>
  <c r="V30" i="11"/>
  <c r="U30" i="11"/>
  <c r="T30" i="11"/>
  <c r="S30" i="11"/>
  <c r="R30" i="11"/>
  <c r="Q30" i="11"/>
  <c r="P30" i="11"/>
  <c r="O30" i="11"/>
  <c r="N30" i="11"/>
  <c r="M30" i="11"/>
  <c r="L30" i="11"/>
  <c r="BO29" i="11"/>
  <c r="BN29" i="11"/>
  <c r="BM29" i="11"/>
  <c r="BL29" i="11"/>
  <c r="BK29" i="11"/>
  <c r="BJ29" i="11"/>
  <c r="BI29" i="11"/>
  <c r="BH29" i="11"/>
  <c r="BG29" i="11"/>
  <c r="BF29" i="11"/>
  <c r="BE29" i="11"/>
  <c r="BD29" i="11"/>
  <c r="BC29" i="11"/>
  <c r="BB29" i="11"/>
  <c r="BA29" i="11"/>
  <c r="AZ29" i="11"/>
  <c r="AY29" i="11"/>
  <c r="AX29" i="11"/>
  <c r="AW29" i="11"/>
  <c r="AV29" i="11"/>
  <c r="AU29" i="11"/>
  <c r="AT29" i="11"/>
  <c r="AS29" i="11"/>
  <c r="AR29" i="11"/>
  <c r="AQ29" i="11"/>
  <c r="AP29" i="11"/>
  <c r="AO29" i="11"/>
  <c r="AN29" i="11"/>
  <c r="AM29" i="11"/>
  <c r="AL29" i="11"/>
  <c r="AK29" i="11"/>
  <c r="AJ29" i="11"/>
  <c r="AI29" i="11"/>
  <c r="AH29" i="11"/>
  <c r="AG29" i="11"/>
  <c r="AF29" i="11"/>
  <c r="AE29" i="11"/>
  <c r="AD29" i="11"/>
  <c r="AC29" i="11"/>
  <c r="AB29" i="11"/>
  <c r="AA29" i="11"/>
  <c r="Z29" i="11"/>
  <c r="Y29" i="11"/>
  <c r="X29" i="11"/>
  <c r="W29" i="11"/>
  <c r="V29" i="11"/>
  <c r="U29" i="11"/>
  <c r="T29" i="11"/>
  <c r="S29" i="11"/>
  <c r="R29" i="11"/>
  <c r="Q29" i="11"/>
  <c r="P29" i="11"/>
  <c r="O29" i="11"/>
  <c r="N29" i="11"/>
  <c r="M29" i="11"/>
  <c r="L29" i="11"/>
  <c r="BO28" i="11"/>
  <c r="BN28" i="11"/>
  <c r="BM28" i="11"/>
  <c r="BL28" i="11"/>
  <c r="BK28" i="11"/>
  <c r="BJ28" i="11"/>
  <c r="BI28" i="11"/>
  <c r="BH28" i="11"/>
  <c r="BG28" i="11"/>
  <c r="BF28" i="11"/>
  <c r="BE28" i="11"/>
  <c r="BD28" i="11"/>
  <c r="BC28" i="11"/>
  <c r="BB28" i="11"/>
  <c r="BA28" i="11"/>
  <c r="AZ28" i="11"/>
  <c r="AY28" i="11"/>
  <c r="AX28" i="11"/>
  <c r="AW28" i="11"/>
  <c r="AV28" i="11"/>
  <c r="AU28" i="11"/>
  <c r="AT28" i="11"/>
  <c r="AS28" i="11"/>
  <c r="AR28" i="11"/>
  <c r="AQ28" i="11"/>
  <c r="AP28" i="11"/>
  <c r="AO28" i="11"/>
  <c r="AN28" i="11"/>
  <c r="AM28" i="11"/>
  <c r="AL28" i="11"/>
  <c r="AK28" i="11"/>
  <c r="AJ28" i="11"/>
  <c r="AI28" i="11"/>
  <c r="AH28" i="11"/>
  <c r="AG28" i="11"/>
  <c r="AF28" i="11"/>
  <c r="AE28" i="11"/>
  <c r="AD28" i="11"/>
  <c r="AC28" i="11"/>
  <c r="AB28" i="11"/>
  <c r="AA28" i="11"/>
  <c r="Z28" i="11"/>
  <c r="Y28" i="11"/>
  <c r="X28" i="11"/>
  <c r="W28" i="11"/>
  <c r="V28" i="11"/>
  <c r="U28" i="11"/>
  <c r="T28" i="11"/>
  <c r="S28" i="11"/>
  <c r="R28" i="11"/>
  <c r="Q28" i="11"/>
  <c r="P28" i="11"/>
  <c r="O28" i="11"/>
  <c r="N28" i="11"/>
  <c r="M28" i="11"/>
  <c r="L28"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BO20" i="11"/>
  <c r="BN20" i="11"/>
  <c r="BM20" i="11"/>
  <c r="BL20" i="11"/>
  <c r="BK20" i="11"/>
  <c r="BJ20" i="11"/>
  <c r="BI20" i="11"/>
  <c r="BH20" i="11"/>
  <c r="BG20" i="11"/>
  <c r="BF20" i="11"/>
  <c r="BE20" i="11"/>
  <c r="BD20" i="11"/>
  <c r="BC20" i="11"/>
  <c r="BB20" i="11"/>
  <c r="BA20" i="11"/>
  <c r="AZ20" i="11"/>
  <c r="AY20" i="11"/>
  <c r="AX20" i="11"/>
  <c r="AW20" i="11"/>
  <c r="AV20" i="11"/>
  <c r="AU20" i="11"/>
  <c r="AT20" i="11"/>
  <c r="AS20" i="11"/>
  <c r="AR20" i="11"/>
  <c r="AQ20" i="11"/>
  <c r="AP20" i="11"/>
  <c r="AO20" i="11"/>
  <c r="AN20" i="11"/>
  <c r="AM20" i="11"/>
  <c r="AL20" i="11"/>
  <c r="AK20" i="11"/>
  <c r="AJ20" i="11"/>
  <c r="AI20" i="11"/>
  <c r="AH20" i="11"/>
  <c r="AG20" i="11"/>
  <c r="AF20" i="11"/>
  <c r="AE20" i="11"/>
  <c r="AD20" i="11"/>
  <c r="AC20" i="11"/>
  <c r="AB20" i="11"/>
  <c r="AA20" i="11"/>
  <c r="Z20" i="11"/>
  <c r="Y20" i="11"/>
  <c r="X20" i="11"/>
  <c r="W20" i="11"/>
  <c r="V20" i="11"/>
  <c r="U20" i="11"/>
  <c r="T20" i="11"/>
  <c r="S20" i="11"/>
  <c r="R20" i="11"/>
  <c r="Q20" i="11"/>
  <c r="P20" i="11"/>
  <c r="O20" i="11"/>
  <c r="N20" i="11"/>
  <c r="M20" i="11"/>
  <c r="L20" i="11"/>
  <c r="BO19" i="11"/>
  <c r="BN19" i="11"/>
  <c r="BM19" i="11"/>
  <c r="BL19" i="11"/>
  <c r="BK19" i="11"/>
  <c r="BJ19" i="11"/>
  <c r="BI19" i="11"/>
  <c r="BH19" i="11"/>
  <c r="BG19" i="11"/>
  <c r="BF19" i="11"/>
  <c r="BE19" i="11"/>
  <c r="BD19" i="11"/>
  <c r="BC19" i="11"/>
  <c r="BB19" i="11"/>
  <c r="BA19" i="11"/>
  <c r="AZ19" i="11"/>
  <c r="AY19" i="11"/>
  <c r="AX19" i="11"/>
  <c r="AW19" i="11"/>
  <c r="AV19" i="11"/>
  <c r="AU19" i="11"/>
  <c r="AT19" i="11"/>
  <c r="AS19" i="11"/>
  <c r="AR19" i="11"/>
  <c r="AQ19" i="11"/>
  <c r="AP19" i="11"/>
  <c r="AO19" i="11"/>
  <c r="AN19" i="11"/>
  <c r="AM19" i="11"/>
  <c r="AL19" i="11"/>
  <c r="AK19" i="11"/>
  <c r="AJ19" i="11"/>
  <c r="AI19" i="11"/>
  <c r="AH19" i="11"/>
  <c r="AG19" i="11"/>
  <c r="AF19" i="11"/>
  <c r="AE19" i="11"/>
  <c r="AD19" i="11"/>
  <c r="AC19" i="11"/>
  <c r="AB19" i="11"/>
  <c r="AA19" i="11"/>
  <c r="Z19" i="11"/>
  <c r="Y19" i="11"/>
  <c r="X19" i="11"/>
  <c r="W19" i="11"/>
  <c r="V19" i="11"/>
  <c r="U19" i="11"/>
  <c r="T19" i="11"/>
  <c r="S19" i="11"/>
  <c r="R19" i="11"/>
  <c r="Q19" i="11"/>
  <c r="P19" i="11"/>
  <c r="O19" i="11"/>
  <c r="N19" i="11"/>
  <c r="M19" i="11"/>
  <c r="L19" i="11"/>
  <c r="BO14" i="11"/>
  <c r="BN14" i="11"/>
  <c r="BM14" i="11"/>
  <c r="BL14" i="11"/>
  <c r="BK14" i="11"/>
  <c r="BJ14" i="11"/>
  <c r="BI14" i="11"/>
  <c r="BH14" i="11"/>
  <c r="BG14" i="11"/>
  <c r="BF14" i="11"/>
  <c r="BE14" i="11"/>
  <c r="BD14" i="11"/>
  <c r="BC14" i="11"/>
  <c r="BB14" i="11"/>
  <c r="BA14" i="11"/>
  <c r="AZ14" i="11"/>
  <c r="AY14" i="11"/>
  <c r="AX14" i="11"/>
  <c r="AW14" i="11"/>
  <c r="AV14" i="11"/>
  <c r="AU14" i="11"/>
  <c r="AT14" i="11"/>
  <c r="AS14" i="11"/>
  <c r="AR14" i="11"/>
  <c r="AQ14" i="11"/>
  <c r="AP14" i="11"/>
  <c r="AO14" i="11"/>
  <c r="AN14" i="11"/>
  <c r="AM14" i="11"/>
  <c r="AL14" i="11"/>
  <c r="AK14" i="11"/>
  <c r="AJ14" i="11"/>
  <c r="AI14" i="11"/>
  <c r="AH14" i="11"/>
  <c r="AG14" i="11"/>
  <c r="AF14" i="11"/>
  <c r="AE14" i="11"/>
  <c r="AD14" i="11"/>
  <c r="AC14" i="11"/>
  <c r="AB14" i="11"/>
  <c r="AA14" i="11"/>
  <c r="Z14" i="11"/>
  <c r="Y14" i="11"/>
  <c r="X14" i="11"/>
  <c r="W14" i="11"/>
  <c r="V14" i="11"/>
  <c r="U14" i="11"/>
  <c r="T14" i="11"/>
  <c r="S14" i="11"/>
  <c r="R14" i="11"/>
  <c r="Q14" i="11"/>
  <c r="P14" i="11"/>
  <c r="O14" i="11"/>
  <c r="N14" i="11"/>
  <c r="M14" i="11"/>
  <c r="L14" i="11"/>
  <c r="BO8" i="11"/>
  <c r="BN8" i="11"/>
  <c r="BM8" i="11"/>
  <c r="BL8" i="11"/>
  <c r="BK8" i="11"/>
  <c r="BJ8" i="11"/>
  <c r="BI8" i="11"/>
  <c r="BH8" i="11"/>
  <c r="BG8" i="11"/>
  <c r="BF8" i="11"/>
  <c r="BE8" i="11"/>
  <c r="BD8" i="11"/>
  <c r="BC8" i="11"/>
  <c r="BB8" i="11"/>
  <c r="BA8" i="11"/>
  <c r="AZ8" i="11"/>
  <c r="AY8" i="11"/>
  <c r="AX8" i="11"/>
  <c r="AW8" i="11"/>
  <c r="AV8" i="11"/>
  <c r="AU8" i="11"/>
  <c r="AT8" i="11"/>
  <c r="AS8" i="11"/>
  <c r="AR8" i="11"/>
  <c r="AQ8" i="11"/>
  <c r="AP8" i="11"/>
  <c r="AO8" i="11"/>
  <c r="AN8" i="11"/>
  <c r="AM8" i="11"/>
  <c r="AL8" i="11"/>
  <c r="AK8" i="11"/>
  <c r="AJ8" i="11"/>
  <c r="AI8" i="11"/>
  <c r="AH8" i="11"/>
  <c r="AG8" i="11"/>
  <c r="AF8" i="11"/>
  <c r="AE8" i="11"/>
  <c r="AD8" i="11"/>
  <c r="AC8" i="11"/>
  <c r="AB8" i="11"/>
  <c r="AA8" i="11"/>
  <c r="Z8" i="11"/>
  <c r="Y8" i="11"/>
  <c r="X8" i="11"/>
  <c r="W8" i="11"/>
  <c r="V8" i="11"/>
  <c r="U8" i="11"/>
  <c r="T8" i="11"/>
  <c r="S8" i="11"/>
  <c r="R8" i="11"/>
  <c r="Q8" i="11"/>
  <c r="P8" i="11"/>
  <c r="O8" i="11"/>
  <c r="N8" i="11"/>
  <c r="M8" i="11"/>
  <c r="L8" i="11"/>
  <c r="H17" i="11" l="1"/>
  <c r="H15" i="11"/>
  <c r="H16" i="11"/>
  <c r="B367" i="21"/>
  <c r="B366" i="21"/>
  <c r="B365" i="21"/>
  <c r="B364" i="21"/>
  <c r="B363" i="21"/>
  <c r="B362" i="21"/>
  <c r="B361" i="21"/>
  <c r="B360" i="21"/>
  <c r="B359" i="21"/>
  <c r="B358" i="21"/>
  <c r="B357" i="21"/>
  <c r="B356" i="21"/>
  <c r="B355" i="21"/>
  <c r="B354" i="21"/>
  <c r="B353" i="21"/>
  <c r="B352" i="21"/>
  <c r="B351" i="21"/>
  <c r="B350" i="21"/>
  <c r="B349" i="21"/>
  <c r="B348" i="21"/>
  <c r="B347" i="21"/>
  <c r="B346" i="21"/>
  <c r="B345" i="21"/>
  <c r="B344" i="21"/>
  <c r="B343" i="21"/>
  <c r="B342" i="21"/>
  <c r="B341" i="21"/>
  <c r="B340" i="21"/>
  <c r="B339" i="21"/>
  <c r="B338" i="21"/>
  <c r="B337" i="21"/>
  <c r="B336" i="21"/>
  <c r="B335" i="21"/>
  <c r="B334" i="21"/>
  <c r="B333" i="21"/>
  <c r="B332" i="21"/>
  <c r="B331" i="21"/>
  <c r="B330" i="21"/>
  <c r="B329" i="21"/>
  <c r="B328" i="21"/>
  <c r="B327" i="21"/>
  <c r="B326" i="21"/>
  <c r="B325" i="21"/>
  <c r="B324" i="21"/>
  <c r="B323" i="21"/>
  <c r="B322" i="21"/>
  <c r="B321" i="21"/>
  <c r="B320" i="21"/>
  <c r="B319" i="21"/>
  <c r="B318" i="21"/>
  <c r="B317" i="21"/>
  <c r="B316" i="21"/>
  <c r="B315" i="21"/>
  <c r="B314" i="21"/>
  <c r="B313" i="21"/>
  <c r="B312" i="21"/>
  <c r="B311" i="21"/>
  <c r="B310" i="21"/>
  <c r="B309" i="21"/>
  <c r="B308" i="21"/>
  <c r="B307" i="21"/>
  <c r="B306" i="21"/>
  <c r="B305" i="21"/>
  <c r="B304" i="21"/>
  <c r="B303" i="21"/>
  <c r="B302" i="21"/>
  <c r="B301" i="21"/>
  <c r="B300" i="21"/>
  <c r="B299" i="21"/>
  <c r="B298" i="21"/>
  <c r="B297" i="21"/>
  <c r="B296" i="21"/>
  <c r="B295" i="21"/>
  <c r="B294" i="21"/>
  <c r="B293" i="21"/>
  <c r="B292" i="21"/>
  <c r="B291" i="21"/>
  <c r="B290" i="21"/>
  <c r="B289" i="21"/>
  <c r="B288" i="21"/>
  <c r="B287" i="21"/>
  <c r="B286" i="21"/>
  <c r="B285" i="21"/>
  <c r="B284" i="21"/>
  <c r="B283" i="21"/>
  <c r="B282" i="21"/>
  <c r="B281" i="21"/>
  <c r="B280" i="21"/>
  <c r="B279" i="21"/>
  <c r="B278" i="21"/>
  <c r="B277" i="21"/>
  <c r="B276" i="21"/>
  <c r="B275" i="21"/>
  <c r="B274" i="21"/>
  <c r="B273" i="21"/>
  <c r="B272" i="21"/>
  <c r="B271" i="21"/>
  <c r="B270" i="21"/>
  <c r="B269" i="21"/>
  <c r="B268" i="21"/>
  <c r="B267" i="21"/>
  <c r="B266" i="21"/>
  <c r="B265" i="21"/>
  <c r="B264" i="21"/>
  <c r="B263" i="21"/>
  <c r="B262" i="21"/>
  <c r="B261" i="21"/>
  <c r="B260" i="21"/>
  <c r="B259" i="21"/>
  <c r="B258" i="21"/>
  <c r="B257" i="21"/>
  <c r="B256" i="21"/>
  <c r="B255" i="21"/>
  <c r="B254" i="21"/>
  <c r="B253" i="21"/>
  <c r="B252" i="21"/>
  <c r="B251" i="21"/>
  <c r="B250" i="21"/>
  <c r="B249" i="21"/>
  <c r="B248" i="21"/>
  <c r="B247" i="21"/>
  <c r="B246" i="21"/>
  <c r="B245" i="21"/>
  <c r="B244" i="21"/>
  <c r="B243" i="21"/>
  <c r="B242" i="21"/>
  <c r="B241" i="21"/>
  <c r="B240" i="21"/>
  <c r="B239" i="21"/>
  <c r="B238" i="21"/>
  <c r="B237" i="21"/>
  <c r="B236" i="21"/>
  <c r="B235" i="21"/>
  <c r="B234" i="21"/>
  <c r="B233" i="21"/>
  <c r="B232" i="21"/>
  <c r="B231" i="21"/>
  <c r="B230" i="21"/>
  <c r="B229" i="21"/>
  <c r="B228" i="21"/>
  <c r="B227" i="21"/>
  <c r="B226" i="21"/>
  <c r="B225" i="21"/>
  <c r="B224" i="21"/>
  <c r="B223" i="21"/>
  <c r="B222" i="21"/>
  <c r="B221" i="21"/>
  <c r="B220" i="21"/>
  <c r="B219" i="21"/>
  <c r="B218" i="21"/>
  <c r="B217" i="21"/>
  <c r="B216" i="21"/>
  <c r="B215" i="21"/>
  <c r="B214" i="21"/>
  <c r="B213" i="21"/>
  <c r="B212" i="21"/>
  <c r="B211" i="21"/>
  <c r="B210" i="21"/>
  <c r="B209" i="21"/>
  <c r="B208" i="21"/>
  <c r="B207" i="21"/>
  <c r="B206" i="21"/>
  <c r="B205" i="21"/>
  <c r="B204" i="21"/>
  <c r="B203" i="21"/>
  <c r="B202" i="21"/>
  <c r="B201" i="21"/>
  <c r="B200" i="21"/>
  <c r="B199" i="21"/>
  <c r="B198" i="21"/>
  <c r="B197" i="21"/>
  <c r="B196" i="21"/>
  <c r="B195" i="21"/>
  <c r="B194" i="21"/>
  <c r="B193" i="21"/>
  <c r="B192" i="21"/>
  <c r="B191" i="21"/>
  <c r="B190" i="21"/>
  <c r="B189" i="21"/>
  <c r="B188" i="21"/>
  <c r="B187" i="21"/>
  <c r="B186" i="21"/>
  <c r="B185" i="21"/>
  <c r="B184" i="21"/>
  <c r="B183" i="21"/>
  <c r="B182" i="21"/>
  <c r="B181" i="21"/>
  <c r="B180" i="21"/>
  <c r="B179" i="21"/>
  <c r="B178" i="21"/>
  <c r="B177" i="21"/>
  <c r="B176" i="21"/>
  <c r="B175" i="21"/>
  <c r="B174" i="21"/>
  <c r="B173" i="21"/>
  <c r="B172" i="21"/>
  <c r="B171" i="21"/>
  <c r="B170" i="21"/>
  <c r="B169" i="21"/>
  <c r="B168" i="21"/>
  <c r="B167" i="21"/>
  <c r="B166" i="21"/>
  <c r="B165" i="21"/>
  <c r="B164" i="21"/>
  <c r="B163" i="21"/>
  <c r="B162" i="21"/>
  <c r="B161" i="21"/>
  <c r="B160" i="21"/>
  <c r="B159" i="21"/>
  <c r="B158" i="21"/>
  <c r="B157" i="21"/>
  <c r="B156" i="21"/>
  <c r="B155" i="21"/>
  <c r="B154" i="21"/>
  <c r="B153" i="21"/>
  <c r="B152" i="21"/>
  <c r="B151" i="21"/>
  <c r="B150" i="21"/>
  <c r="B149" i="21"/>
  <c r="B148" i="21"/>
  <c r="B147" i="21"/>
  <c r="B146" i="21"/>
  <c r="B145" i="21"/>
  <c r="B144" i="21"/>
  <c r="B143" i="21"/>
  <c r="B142" i="21"/>
  <c r="B141" i="21"/>
  <c r="B140" i="21"/>
  <c r="B139" i="21"/>
  <c r="B138" i="21"/>
  <c r="B137" i="21"/>
  <c r="B136" i="21"/>
  <c r="B135" i="21"/>
  <c r="B134" i="21"/>
  <c r="B133" i="21"/>
  <c r="B132" i="21"/>
  <c r="B131" i="21"/>
  <c r="B130" i="21"/>
  <c r="B129" i="21"/>
  <c r="B128" i="21"/>
  <c r="B127" i="21"/>
  <c r="B126" i="21"/>
  <c r="B125" i="21"/>
  <c r="B124" i="21"/>
  <c r="B123" i="21"/>
  <c r="B122" i="21"/>
  <c r="B121" i="21"/>
  <c r="B120" i="21"/>
  <c r="B119" i="21"/>
  <c r="B118" i="21"/>
  <c r="B117" i="21"/>
  <c r="B116" i="21"/>
  <c r="B115" i="21"/>
  <c r="B114" i="21"/>
  <c r="B113" i="21"/>
  <c r="B112" i="21"/>
  <c r="B111" i="21"/>
  <c r="B110" i="21"/>
  <c r="B109" i="21"/>
  <c r="B108" i="21"/>
  <c r="B107" i="21"/>
  <c r="B106" i="21"/>
  <c r="B105" i="21"/>
  <c r="B104" i="21"/>
  <c r="B103" i="21"/>
  <c r="B102" i="21"/>
  <c r="B101" i="21"/>
  <c r="B100" i="21"/>
  <c r="B99" i="21"/>
  <c r="B98" i="21"/>
  <c r="B97" i="21"/>
  <c r="B96" i="21"/>
  <c r="B95" i="21"/>
  <c r="B94" i="21"/>
  <c r="B93" i="21"/>
  <c r="B92" i="21"/>
  <c r="B91" i="21"/>
  <c r="B90" i="21"/>
  <c r="B89" i="21"/>
  <c r="B88" i="21"/>
  <c r="B87" i="21"/>
  <c r="B86" i="21"/>
  <c r="B85" i="21"/>
  <c r="B84" i="21"/>
  <c r="B83" i="21"/>
  <c r="B82" i="21"/>
  <c r="B81" i="21"/>
  <c r="B80" i="21"/>
  <c r="B79" i="21"/>
  <c r="B78" i="21"/>
  <c r="B77" i="21"/>
  <c r="B76" i="21"/>
  <c r="B75" i="21"/>
  <c r="B74" i="21"/>
  <c r="B73" i="21"/>
  <c r="B72" i="21"/>
  <c r="B71" i="21"/>
  <c r="B70" i="21"/>
  <c r="B69" i="21"/>
  <c r="B68" i="21"/>
  <c r="B67" i="21"/>
  <c r="B66" i="21"/>
  <c r="B65" i="21"/>
  <c r="B64" i="21"/>
  <c r="B63" i="21"/>
  <c r="B62" i="21"/>
  <c r="B61" i="21"/>
  <c r="B60" i="21"/>
  <c r="B59" i="21"/>
  <c r="B58" i="21"/>
  <c r="B57" i="21"/>
  <c r="B56" i="21"/>
  <c r="B55" i="21"/>
  <c r="B54" i="21"/>
  <c r="B53" i="21"/>
  <c r="B52" i="21"/>
  <c r="B51" i="21"/>
  <c r="B50" i="21"/>
  <c r="B49" i="21"/>
  <c r="B48" i="21"/>
  <c r="B47" i="21"/>
  <c r="B46" i="21"/>
  <c r="B45" i="21"/>
  <c r="B44" i="21"/>
  <c r="B43" i="21"/>
  <c r="B42" i="21"/>
  <c r="B41" i="21"/>
  <c r="B40" i="21"/>
  <c r="B39" i="21"/>
  <c r="B38" i="21"/>
  <c r="B37" i="21"/>
  <c r="B36" i="21"/>
  <c r="B35" i="21"/>
  <c r="B34" i="21"/>
  <c r="B33" i="21"/>
  <c r="B32" i="21"/>
  <c r="B31" i="21"/>
  <c r="B30" i="21"/>
  <c r="B29" i="21"/>
  <c r="B28" i="21"/>
  <c r="B27" i="21"/>
  <c r="B26" i="21"/>
  <c r="B25" i="21"/>
  <c r="B24" i="21"/>
  <c r="B23" i="21"/>
  <c r="B22" i="21"/>
  <c r="B21" i="21"/>
  <c r="B20" i="21"/>
  <c r="B19" i="21"/>
  <c r="B18" i="21"/>
  <c r="B17" i="21"/>
  <c r="B16" i="21"/>
  <c r="B15" i="21"/>
  <c r="B14" i="21"/>
  <c r="B13" i="21"/>
  <c r="B12" i="21"/>
  <c r="B11" i="21"/>
  <c r="B10" i="21"/>
  <c r="B9" i="21"/>
  <c r="B8" i="21"/>
  <c r="B7" i="21"/>
  <c r="B6" i="21"/>
  <c r="B5" i="21"/>
  <c r="B4" i="21"/>
  <c r="B3" i="21"/>
  <c r="B2" i="21"/>
  <c r="D367" i="21"/>
  <c r="C367" i="21"/>
  <c r="D366" i="21"/>
  <c r="C366" i="21"/>
  <c r="D365" i="21"/>
  <c r="C365" i="21"/>
  <c r="D364" i="21"/>
  <c r="C364" i="21"/>
  <c r="D363" i="21"/>
  <c r="C363" i="21"/>
  <c r="D362" i="21"/>
  <c r="C362" i="21"/>
  <c r="D361" i="21"/>
  <c r="C361" i="21"/>
  <c r="D360" i="21"/>
  <c r="C360" i="21"/>
  <c r="D359" i="21"/>
  <c r="C359" i="21"/>
  <c r="D358" i="21"/>
  <c r="C358" i="21"/>
  <c r="D357" i="21"/>
  <c r="C357" i="21"/>
  <c r="D356" i="21"/>
  <c r="C356" i="21"/>
  <c r="D355" i="21"/>
  <c r="C355" i="21"/>
  <c r="D354" i="21"/>
  <c r="C354" i="21"/>
  <c r="D353" i="21"/>
  <c r="C353" i="21"/>
  <c r="D352" i="21"/>
  <c r="C352" i="21"/>
  <c r="D351" i="21"/>
  <c r="C351" i="21"/>
  <c r="D350" i="21"/>
  <c r="C350" i="21"/>
  <c r="D349" i="21"/>
  <c r="C349" i="21"/>
  <c r="D348" i="21"/>
  <c r="C348" i="21"/>
  <c r="D347" i="21"/>
  <c r="C347" i="21"/>
  <c r="D346" i="21"/>
  <c r="C346" i="21"/>
  <c r="D345" i="21"/>
  <c r="C345" i="21"/>
  <c r="D344" i="21"/>
  <c r="C344" i="21"/>
  <c r="D343" i="21"/>
  <c r="C343" i="21"/>
  <c r="D342" i="21"/>
  <c r="C342" i="21"/>
  <c r="D341" i="21"/>
  <c r="C341" i="21"/>
  <c r="D340" i="21"/>
  <c r="C340" i="21"/>
  <c r="D339" i="21"/>
  <c r="C339" i="21"/>
  <c r="D338" i="21"/>
  <c r="C338" i="21"/>
  <c r="D337" i="21"/>
  <c r="C337" i="21"/>
  <c r="D336" i="21"/>
  <c r="C336" i="21"/>
  <c r="D335" i="21"/>
  <c r="C335" i="2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D307" i="21"/>
  <c r="C307" i="21"/>
  <c r="D306" i="21"/>
  <c r="C306" i="21"/>
  <c r="D305" i="21"/>
  <c r="C305" i="21"/>
  <c r="D304" i="21"/>
  <c r="C304" i="21"/>
  <c r="D303" i="21"/>
  <c r="C303" i="21"/>
  <c r="D302" i="21"/>
  <c r="C302" i="21"/>
  <c r="D301" i="21"/>
  <c r="C301" i="21"/>
  <c r="D300" i="21"/>
  <c r="C300" i="21"/>
  <c r="D299" i="21"/>
  <c r="C299" i="21"/>
  <c r="D298" i="21"/>
  <c r="C298" i="21"/>
  <c r="D297" i="21"/>
  <c r="C297" i="21"/>
  <c r="D296" i="21"/>
  <c r="C296" i="21"/>
  <c r="D295" i="21"/>
  <c r="C295" i="21"/>
  <c r="D294" i="21"/>
  <c r="C294" i="21"/>
  <c r="D293" i="21"/>
  <c r="C293" i="21"/>
  <c r="D292" i="21"/>
  <c r="C292" i="21"/>
  <c r="D291" i="21"/>
  <c r="C291" i="21"/>
  <c r="D290" i="21"/>
  <c r="C290" i="21"/>
  <c r="D289" i="21"/>
  <c r="C289" i="21"/>
  <c r="D288" i="21"/>
  <c r="C288" i="21"/>
  <c r="D287" i="21"/>
  <c r="C287" i="21"/>
  <c r="D286" i="21"/>
  <c r="C286" i="21"/>
  <c r="D285" i="21"/>
  <c r="C285" i="21"/>
  <c r="D284" i="21"/>
  <c r="C284" i="21"/>
  <c r="D283" i="21"/>
  <c r="C283" i="21"/>
  <c r="D282" i="21"/>
  <c r="C282" i="21"/>
  <c r="D281" i="21"/>
  <c r="C281" i="21"/>
  <c r="D280" i="21"/>
  <c r="C280" i="21"/>
  <c r="D279" i="21"/>
  <c r="C279" i="21"/>
  <c r="D278" i="21"/>
  <c r="C278" i="21"/>
  <c r="D277" i="21"/>
  <c r="C277" i="21"/>
  <c r="D276" i="21"/>
  <c r="C276" i="21"/>
  <c r="D275" i="21"/>
  <c r="C275" i="21"/>
  <c r="D274" i="21"/>
  <c r="C274" i="21"/>
  <c r="D273" i="21"/>
  <c r="C273" i="21"/>
  <c r="D272" i="21"/>
  <c r="C272" i="21"/>
  <c r="D271" i="21"/>
  <c r="C271" i="21"/>
  <c r="D270" i="21"/>
  <c r="C270" i="21"/>
  <c r="D269" i="21"/>
  <c r="C269" i="21"/>
  <c r="D268" i="21"/>
  <c r="C268" i="21"/>
  <c r="D267" i="21"/>
  <c r="C267" i="21"/>
  <c r="D266" i="21"/>
  <c r="C266" i="21"/>
  <c r="D265" i="21"/>
  <c r="C265" i="21"/>
  <c r="D264" i="21"/>
  <c r="C264" i="21"/>
  <c r="D263" i="21"/>
  <c r="C263" i="21"/>
  <c r="D262" i="21"/>
  <c r="C262" i="21"/>
  <c r="D261" i="21"/>
  <c r="C261" i="21"/>
  <c r="D260" i="21"/>
  <c r="C260" i="21"/>
  <c r="D259" i="21"/>
  <c r="C259" i="21"/>
  <c r="D258" i="21"/>
  <c r="C258" i="21"/>
  <c r="D257" i="21"/>
  <c r="C257" i="21"/>
  <c r="D256" i="21"/>
  <c r="C256" i="21"/>
  <c r="D255" i="21"/>
  <c r="C255" i="21"/>
  <c r="D254" i="21"/>
  <c r="C254" i="21"/>
  <c r="D253" i="21"/>
  <c r="C253" i="21"/>
  <c r="D252" i="21"/>
  <c r="C252" i="21"/>
  <c r="D251" i="21"/>
  <c r="C251" i="21"/>
  <c r="D250" i="21"/>
  <c r="C250" i="21"/>
  <c r="D249" i="21"/>
  <c r="C249" i="21"/>
  <c r="D248" i="21"/>
  <c r="C248" i="21"/>
  <c r="D247" i="21"/>
  <c r="C247" i="21"/>
  <c r="D246" i="21"/>
  <c r="C246" i="21"/>
  <c r="D245" i="21"/>
  <c r="C245" i="21"/>
  <c r="D244" i="21"/>
  <c r="C244" i="21"/>
  <c r="D243" i="21"/>
  <c r="C243" i="21"/>
  <c r="D242" i="21"/>
  <c r="C242" i="21"/>
  <c r="D241" i="21"/>
  <c r="C241" i="21"/>
  <c r="D240" i="21"/>
  <c r="C240" i="21"/>
  <c r="D239" i="21"/>
  <c r="C239" i="21"/>
  <c r="D238" i="21"/>
  <c r="C238" i="21"/>
  <c r="D237" i="21"/>
  <c r="C237" i="21"/>
  <c r="D236" i="21"/>
  <c r="C236" i="21"/>
  <c r="D235" i="21"/>
  <c r="C235" i="21"/>
  <c r="D234" i="21"/>
  <c r="C234" i="21"/>
  <c r="D233" i="21"/>
  <c r="C233" i="21"/>
  <c r="D232" i="21"/>
  <c r="C232" i="21"/>
  <c r="D231" i="21"/>
  <c r="C231" i="21"/>
  <c r="D230" i="21"/>
  <c r="C230" i="21"/>
  <c r="D229" i="21"/>
  <c r="C229" i="21"/>
  <c r="D228" i="21"/>
  <c r="C228" i="21"/>
  <c r="D227" i="21"/>
  <c r="C227" i="21"/>
  <c r="D226" i="21"/>
  <c r="C226" i="21"/>
  <c r="D225" i="21"/>
  <c r="C225" i="21"/>
  <c r="D224" i="21"/>
  <c r="C224" i="21"/>
  <c r="D223" i="21"/>
  <c r="C223" i="21"/>
  <c r="D222" i="21"/>
  <c r="C222" i="21"/>
  <c r="D221" i="21"/>
  <c r="C221" i="21"/>
  <c r="D220" i="21"/>
  <c r="C220" i="21"/>
  <c r="D219" i="21"/>
  <c r="C219" i="21"/>
  <c r="D218" i="21"/>
  <c r="C218" i="21"/>
  <c r="D217" i="21"/>
  <c r="C217" i="21"/>
  <c r="D216" i="21"/>
  <c r="C216" i="21"/>
  <c r="D215" i="21"/>
  <c r="C215" i="21"/>
  <c r="D214" i="21"/>
  <c r="C214" i="21"/>
  <c r="D213" i="21"/>
  <c r="C213" i="21"/>
  <c r="D212" i="21"/>
  <c r="C212" i="21"/>
  <c r="D211" i="21"/>
  <c r="C211" i="21"/>
  <c r="D210" i="21"/>
  <c r="C210" i="21"/>
  <c r="D209" i="21"/>
  <c r="C209" i="21"/>
  <c r="D208" i="21"/>
  <c r="C208" i="21"/>
  <c r="D207" i="21"/>
  <c r="C207" i="21"/>
  <c r="D206" i="21"/>
  <c r="C206" i="21"/>
  <c r="D205" i="21"/>
  <c r="C205" i="21"/>
  <c r="D204" i="21"/>
  <c r="C204" i="21"/>
  <c r="D203" i="21"/>
  <c r="C203" i="21"/>
  <c r="D202" i="21"/>
  <c r="C202" i="21"/>
  <c r="D201" i="21"/>
  <c r="C201" i="21"/>
  <c r="D200" i="21"/>
  <c r="C200" i="21"/>
  <c r="D199" i="21"/>
  <c r="C199" i="21"/>
  <c r="D198" i="21"/>
  <c r="C198" i="21"/>
  <c r="D197" i="21"/>
  <c r="C197" i="21"/>
  <c r="D196" i="21"/>
  <c r="C196" i="21"/>
  <c r="D195" i="21"/>
  <c r="C195" i="21"/>
  <c r="D194" i="21"/>
  <c r="C194" i="21"/>
  <c r="D193" i="21"/>
  <c r="C193" i="21"/>
  <c r="D192" i="21"/>
  <c r="C192" i="21"/>
  <c r="D191" i="21"/>
  <c r="C191" i="21"/>
  <c r="D190" i="21"/>
  <c r="C190" i="21"/>
  <c r="D189" i="21"/>
  <c r="C189" i="21"/>
  <c r="D188" i="21"/>
  <c r="C188" i="21"/>
  <c r="D187" i="21"/>
  <c r="C187" i="21"/>
  <c r="D186" i="21"/>
  <c r="C186" i="21"/>
  <c r="D185" i="21"/>
  <c r="C185" i="21"/>
  <c r="D184" i="21"/>
  <c r="C184" i="21"/>
  <c r="D183" i="21"/>
  <c r="C183" i="21"/>
  <c r="D182" i="21"/>
  <c r="C182" i="21"/>
  <c r="D181" i="21"/>
  <c r="C181" i="21"/>
  <c r="D180" i="21"/>
  <c r="C180" i="21"/>
  <c r="D179" i="21"/>
  <c r="C179" i="21"/>
  <c r="D178" i="21"/>
  <c r="C178" i="21"/>
  <c r="D177" i="21"/>
  <c r="C177" i="21"/>
  <c r="D176" i="21"/>
  <c r="C176" i="21"/>
  <c r="D175" i="21"/>
  <c r="C175" i="21"/>
  <c r="D174" i="21"/>
  <c r="C174" i="21"/>
  <c r="D173" i="21"/>
  <c r="C173" i="21"/>
  <c r="D172" i="21"/>
  <c r="C172" i="21"/>
  <c r="D171" i="21"/>
  <c r="C171" i="21"/>
  <c r="D170" i="21"/>
  <c r="C170" i="21"/>
  <c r="D169" i="21"/>
  <c r="C169" i="21"/>
  <c r="D168" i="21"/>
  <c r="C168" i="21"/>
  <c r="D167" i="21"/>
  <c r="C167" i="21"/>
  <c r="D166" i="21"/>
  <c r="C166" i="21"/>
  <c r="D165" i="21"/>
  <c r="C165" i="21"/>
  <c r="D164" i="21"/>
  <c r="C164" i="21"/>
  <c r="D163" i="21"/>
  <c r="C163" i="21"/>
  <c r="D162" i="21"/>
  <c r="C162" i="21"/>
  <c r="D161" i="21"/>
  <c r="C161" i="21"/>
  <c r="D160" i="21"/>
  <c r="C160" i="21"/>
  <c r="D159" i="21"/>
  <c r="C159" i="21"/>
  <c r="D158" i="21"/>
  <c r="C158" i="21"/>
  <c r="D157" i="21"/>
  <c r="C157" i="21"/>
  <c r="D156" i="21"/>
  <c r="C156" i="21"/>
  <c r="D155" i="21"/>
  <c r="C155" i="21"/>
  <c r="D154" i="21"/>
  <c r="C154" i="21"/>
  <c r="D153" i="21"/>
  <c r="C153" i="21"/>
  <c r="D152" i="21"/>
  <c r="C152" i="21"/>
  <c r="D151" i="21"/>
  <c r="C151" i="21"/>
  <c r="D150" i="21"/>
  <c r="C150" i="21"/>
  <c r="D149" i="21"/>
  <c r="C149" i="21"/>
  <c r="D148" i="21"/>
  <c r="C148" i="21"/>
  <c r="D147" i="21"/>
  <c r="C147" i="21"/>
  <c r="D146" i="21"/>
  <c r="C146" i="21"/>
  <c r="D145" i="21"/>
  <c r="C145" i="21"/>
  <c r="D144" i="21"/>
  <c r="C144" i="21"/>
  <c r="D143" i="21"/>
  <c r="C143" i="21"/>
  <c r="D142" i="21"/>
  <c r="C142" i="21"/>
  <c r="D141" i="21"/>
  <c r="C141" i="21"/>
  <c r="D140" i="21"/>
  <c r="C140" i="21"/>
  <c r="D139" i="21"/>
  <c r="C139" i="21"/>
  <c r="D138" i="21"/>
  <c r="C138" i="21"/>
  <c r="D137" i="21"/>
  <c r="C137" i="21"/>
  <c r="D136" i="21"/>
  <c r="C136" i="21"/>
  <c r="D135" i="21"/>
  <c r="C135" i="21"/>
  <c r="D134" i="21"/>
  <c r="C134" i="21"/>
  <c r="D133" i="21"/>
  <c r="C133" i="21"/>
  <c r="D132" i="21"/>
  <c r="C132" i="21"/>
  <c r="D131" i="21"/>
  <c r="C131" i="21"/>
  <c r="D130" i="21"/>
  <c r="C130" i="21"/>
  <c r="D129" i="21"/>
  <c r="C129" i="21"/>
  <c r="D128" i="21"/>
  <c r="C128" i="21"/>
  <c r="D127" i="21"/>
  <c r="C127" i="21"/>
  <c r="D126" i="21"/>
  <c r="C126" i="21"/>
  <c r="D125" i="21"/>
  <c r="C125" i="2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D107" i="21"/>
  <c r="C107" i="21"/>
  <c r="D106" i="21"/>
  <c r="C106" i="21"/>
  <c r="D105" i="21"/>
  <c r="C105" i="21"/>
  <c r="D104" i="21"/>
  <c r="C104" i="21"/>
  <c r="D103" i="21"/>
  <c r="C103" i="21"/>
  <c r="D102" i="21"/>
  <c r="C102" i="21"/>
  <c r="D101" i="21"/>
  <c r="C101" i="21"/>
  <c r="D100" i="21"/>
  <c r="C100" i="21"/>
  <c r="D99" i="21"/>
  <c r="C99" i="21"/>
  <c r="D98" i="21"/>
  <c r="C98" i="21"/>
  <c r="D97" i="21"/>
  <c r="C97" i="21"/>
  <c r="D96" i="21"/>
  <c r="C96" i="21"/>
  <c r="D95" i="21"/>
  <c r="C95" i="21"/>
  <c r="D94" i="21"/>
  <c r="C94" i="21"/>
  <c r="D93" i="21"/>
  <c r="C93" i="21"/>
  <c r="D92" i="21"/>
  <c r="C92" i="21"/>
  <c r="D91" i="21"/>
  <c r="C91" i="21"/>
  <c r="D90" i="21"/>
  <c r="C90" i="21"/>
  <c r="D89" i="21"/>
  <c r="C89" i="21"/>
  <c r="D88" i="21"/>
  <c r="C88" i="21"/>
  <c r="D87" i="21"/>
  <c r="C87" i="21"/>
  <c r="D86" i="21"/>
  <c r="C86" i="21"/>
  <c r="D85" i="21"/>
  <c r="C85" i="21"/>
  <c r="D84" i="21"/>
  <c r="C84" i="21"/>
  <c r="D83" i="21"/>
  <c r="C83" i="21"/>
  <c r="D82" i="21"/>
  <c r="C82" i="21"/>
  <c r="D81" i="21"/>
  <c r="C81" i="21"/>
  <c r="D80" i="21"/>
  <c r="C80" i="21"/>
  <c r="D79" i="21"/>
  <c r="C79" i="21"/>
  <c r="D78" i="21"/>
  <c r="C78" i="21"/>
  <c r="D77" i="21"/>
  <c r="C77" i="21"/>
  <c r="D76" i="21"/>
  <c r="C76" i="21"/>
  <c r="D75" i="21"/>
  <c r="C75" i="21"/>
  <c r="D74" i="21"/>
  <c r="C74" i="21"/>
  <c r="D73" i="21"/>
  <c r="C73" i="21"/>
  <c r="D72" i="21"/>
  <c r="C72" i="21"/>
  <c r="D71" i="21"/>
  <c r="C71" i="21"/>
  <c r="D70" i="21"/>
  <c r="C70" i="21"/>
  <c r="D69" i="21"/>
  <c r="C69" i="21"/>
  <c r="D68" i="21"/>
  <c r="C68" i="21"/>
  <c r="D67" i="21"/>
  <c r="C67" i="21"/>
  <c r="D66" i="21"/>
  <c r="C66" i="21"/>
  <c r="D65" i="21"/>
  <c r="C65" i="21"/>
  <c r="D64" i="21"/>
  <c r="C64" i="21"/>
  <c r="D63" i="21"/>
  <c r="C63" i="21"/>
  <c r="D62" i="21"/>
  <c r="C62" i="21"/>
  <c r="D61" i="21"/>
  <c r="C61" i="21"/>
  <c r="D60" i="21"/>
  <c r="C60" i="21"/>
  <c r="D59" i="21"/>
  <c r="C59" i="21"/>
  <c r="D58" i="21"/>
  <c r="C58" i="21"/>
  <c r="D57" i="21"/>
  <c r="C57" i="21"/>
  <c r="D56" i="21"/>
  <c r="C56" i="21"/>
  <c r="D55" i="21"/>
  <c r="C55" i="21"/>
  <c r="D54" i="21"/>
  <c r="C54" i="21"/>
  <c r="D53" i="21"/>
  <c r="C53" i="21"/>
  <c r="D52" i="21"/>
  <c r="C52" i="21"/>
  <c r="D51" i="21"/>
  <c r="C51" i="21"/>
  <c r="D50" i="21"/>
  <c r="C50" i="21"/>
  <c r="D49" i="21"/>
  <c r="C49" i="21"/>
  <c r="D48" i="21"/>
  <c r="C48" i="21"/>
  <c r="D47" i="21"/>
  <c r="C47" i="21"/>
  <c r="D46" i="21"/>
  <c r="C46" i="21"/>
  <c r="D45" i="21"/>
  <c r="C45" i="21"/>
  <c r="D44" i="21"/>
  <c r="C44" i="21"/>
  <c r="D43" i="21"/>
  <c r="C43" i="21"/>
  <c r="D42" i="21"/>
  <c r="C42" i="21"/>
  <c r="D41" i="21"/>
  <c r="C41" i="21"/>
  <c r="D40" i="21"/>
  <c r="C40" i="21"/>
  <c r="D39" i="21"/>
  <c r="C39" i="21"/>
  <c r="D38" i="21"/>
  <c r="C38" i="21"/>
  <c r="D37" i="21"/>
  <c r="C37" i="21"/>
  <c r="D36" i="21"/>
  <c r="C36" i="21"/>
  <c r="D35" i="21"/>
  <c r="C35" i="21"/>
  <c r="D34" i="21"/>
  <c r="C34" i="21"/>
  <c r="D33" i="21"/>
  <c r="C33" i="21"/>
  <c r="D32" i="21"/>
  <c r="C32" i="21"/>
  <c r="D31" i="21"/>
  <c r="C31" i="21"/>
  <c r="D30" i="21"/>
  <c r="C30" i="21"/>
  <c r="D29" i="21"/>
  <c r="C29" i="21"/>
  <c r="D28" i="21"/>
  <c r="C28" i="21"/>
  <c r="D27" i="21"/>
  <c r="C27" i="21"/>
  <c r="D26" i="21"/>
  <c r="C26" i="21"/>
  <c r="D25" i="21"/>
  <c r="C25" i="21"/>
  <c r="D24" i="21"/>
  <c r="C24" i="21"/>
  <c r="D23" i="21"/>
  <c r="C23" i="21"/>
  <c r="D22" i="21"/>
  <c r="C22" i="21"/>
  <c r="D21" i="21"/>
  <c r="C21" i="21"/>
  <c r="D20" i="21"/>
  <c r="C20" i="21"/>
  <c r="D19" i="21"/>
  <c r="C19" i="21"/>
  <c r="D18" i="21"/>
  <c r="C18" i="21"/>
  <c r="D17" i="21"/>
  <c r="C17" i="21"/>
  <c r="D16" i="21"/>
  <c r="C16" i="21"/>
  <c r="D15" i="21"/>
  <c r="C15" i="21"/>
  <c r="D14" i="21"/>
  <c r="C14" i="21"/>
  <c r="D13" i="21"/>
  <c r="C13" i="21"/>
  <c r="D12" i="21"/>
  <c r="C12" i="21"/>
  <c r="D11" i="21"/>
  <c r="C11" i="21"/>
  <c r="D10" i="21"/>
  <c r="C10" i="21"/>
  <c r="D9" i="21"/>
  <c r="C9" i="21"/>
  <c r="D8" i="21"/>
  <c r="C8" i="21"/>
  <c r="D7" i="21"/>
  <c r="C7" i="21"/>
  <c r="D6" i="21"/>
  <c r="C6" i="21"/>
  <c r="D5" i="21"/>
  <c r="C5" i="21"/>
  <c r="D4" i="21"/>
  <c r="C4" i="21"/>
  <c r="D3" i="21"/>
  <c r="C3" i="21"/>
  <c r="D2" i="21"/>
  <c r="C2" i="21"/>
  <c r="J17" i="11"/>
  <c r="J16" i="11"/>
  <c r="J15" i="11"/>
  <c r="H25" i="11" l="1"/>
  <c r="H24" i="11"/>
  <c r="H23" i="11"/>
  <c r="H22" i="11"/>
  <c r="H21" i="11"/>
  <c r="H19" i="11"/>
  <c r="H18" i="11"/>
  <c r="D367" i="20"/>
  <c r="C367" i="20"/>
  <c r="D366" i="20"/>
  <c r="C366" i="20"/>
  <c r="D365" i="20"/>
  <c r="C365" i="20"/>
  <c r="D364" i="20"/>
  <c r="C364" i="20"/>
  <c r="D363" i="20"/>
  <c r="C363" i="20"/>
  <c r="D362" i="20"/>
  <c r="C362" i="20"/>
  <c r="D361" i="20"/>
  <c r="C361" i="20"/>
  <c r="D360" i="20"/>
  <c r="C360" i="20"/>
  <c r="D359" i="20"/>
  <c r="C359" i="20"/>
  <c r="D358" i="20"/>
  <c r="C358" i="20"/>
  <c r="D357" i="20"/>
  <c r="C357" i="20"/>
  <c r="D356" i="20"/>
  <c r="C356" i="20"/>
  <c r="D355" i="20"/>
  <c r="C355" i="20"/>
  <c r="D354" i="20"/>
  <c r="C354" i="20"/>
  <c r="D353" i="20"/>
  <c r="C353" i="20"/>
  <c r="D352" i="20"/>
  <c r="C352" i="20"/>
  <c r="D351" i="20"/>
  <c r="C351" i="20"/>
  <c r="D350" i="20"/>
  <c r="C350" i="20"/>
  <c r="D349" i="20"/>
  <c r="C349" i="20"/>
  <c r="D348" i="20"/>
  <c r="C348" i="20"/>
  <c r="D347" i="20"/>
  <c r="C347" i="20"/>
  <c r="D346" i="20"/>
  <c r="C346" i="20"/>
  <c r="D345" i="20"/>
  <c r="C345" i="20"/>
  <c r="D344" i="20"/>
  <c r="C344" i="20"/>
  <c r="D343" i="20"/>
  <c r="C343" i="20"/>
  <c r="D342" i="20"/>
  <c r="C342" i="20"/>
  <c r="D341" i="20"/>
  <c r="C341" i="20"/>
  <c r="D340" i="20"/>
  <c r="C340" i="20"/>
  <c r="D339" i="20"/>
  <c r="C339" i="20"/>
  <c r="D338" i="20"/>
  <c r="C338" i="20"/>
  <c r="D337" i="20"/>
  <c r="C337" i="20"/>
  <c r="D336" i="20"/>
  <c r="C336" i="20"/>
  <c r="D335" i="20"/>
  <c r="C335" i="20"/>
  <c r="D334" i="20"/>
  <c r="C334" i="20"/>
  <c r="D333" i="20"/>
  <c r="C333" i="20"/>
  <c r="D332" i="20"/>
  <c r="C332" i="20"/>
  <c r="D331" i="20"/>
  <c r="C331" i="20"/>
  <c r="D330" i="20"/>
  <c r="C330" i="20"/>
  <c r="D329" i="20"/>
  <c r="C329" i="20"/>
  <c r="D328" i="20"/>
  <c r="C328" i="20"/>
  <c r="D327" i="20"/>
  <c r="C327" i="20"/>
  <c r="D326" i="20"/>
  <c r="C326" i="20"/>
  <c r="D325" i="20"/>
  <c r="C325" i="20"/>
  <c r="D324" i="20"/>
  <c r="C324" i="20"/>
  <c r="D323" i="20"/>
  <c r="C323" i="20"/>
  <c r="D322" i="20"/>
  <c r="C322" i="20"/>
  <c r="D321" i="20"/>
  <c r="C321" i="20"/>
  <c r="D320" i="20"/>
  <c r="C320" i="20"/>
  <c r="D319" i="20"/>
  <c r="C319" i="20"/>
  <c r="D318" i="20"/>
  <c r="C318" i="20"/>
  <c r="D317" i="20"/>
  <c r="C317" i="20"/>
  <c r="D316" i="20"/>
  <c r="C316" i="20"/>
  <c r="D315" i="20"/>
  <c r="C315" i="20"/>
  <c r="D314" i="20"/>
  <c r="C314" i="20"/>
  <c r="D313" i="20"/>
  <c r="C313" i="20"/>
  <c r="D312" i="20"/>
  <c r="C312" i="20"/>
  <c r="D311" i="20"/>
  <c r="C311" i="20"/>
  <c r="D310" i="20"/>
  <c r="C310" i="20"/>
  <c r="D309" i="20"/>
  <c r="C309" i="20"/>
  <c r="D308" i="20"/>
  <c r="C308" i="20"/>
  <c r="D307" i="20"/>
  <c r="C307" i="20"/>
  <c r="D306" i="20"/>
  <c r="C306" i="20"/>
  <c r="D305" i="20"/>
  <c r="C305" i="20"/>
  <c r="D304" i="20"/>
  <c r="C304" i="20"/>
  <c r="D303" i="20"/>
  <c r="C303" i="20"/>
  <c r="D302" i="20"/>
  <c r="C302" i="20"/>
  <c r="D301" i="20"/>
  <c r="C301" i="20"/>
  <c r="D300" i="20"/>
  <c r="C300" i="20"/>
  <c r="D299" i="20"/>
  <c r="C299" i="20"/>
  <c r="D298" i="20"/>
  <c r="C298" i="20"/>
  <c r="D297" i="20"/>
  <c r="C297" i="20"/>
  <c r="D296" i="20"/>
  <c r="C296" i="20"/>
  <c r="D295" i="20"/>
  <c r="C295" i="20"/>
  <c r="D294" i="20"/>
  <c r="C294" i="20"/>
  <c r="D293" i="20"/>
  <c r="C293" i="20"/>
  <c r="D292" i="20"/>
  <c r="C292" i="20"/>
  <c r="D291" i="20"/>
  <c r="C291" i="20"/>
  <c r="D290" i="20"/>
  <c r="C290" i="20"/>
  <c r="D289" i="20"/>
  <c r="C289" i="20"/>
  <c r="D288" i="20"/>
  <c r="C288" i="20"/>
  <c r="D287" i="20"/>
  <c r="C287" i="20"/>
  <c r="D286" i="20"/>
  <c r="C286" i="20"/>
  <c r="D285" i="20"/>
  <c r="C285" i="20"/>
  <c r="D284" i="20"/>
  <c r="C284" i="20"/>
  <c r="D283" i="20"/>
  <c r="C283" i="20"/>
  <c r="D282" i="20"/>
  <c r="C282" i="20"/>
  <c r="D281" i="20"/>
  <c r="C281" i="20"/>
  <c r="D280" i="20"/>
  <c r="C280" i="20"/>
  <c r="D279" i="20"/>
  <c r="C279" i="20"/>
  <c r="D278" i="20"/>
  <c r="C278" i="20"/>
  <c r="D277" i="20"/>
  <c r="C277" i="20"/>
  <c r="D276" i="20"/>
  <c r="C276" i="20"/>
  <c r="D275" i="20"/>
  <c r="C275" i="20"/>
  <c r="D274" i="20"/>
  <c r="C274" i="20"/>
  <c r="D273" i="20"/>
  <c r="C273" i="20"/>
  <c r="D272" i="20"/>
  <c r="C272" i="20"/>
  <c r="D271" i="20"/>
  <c r="C271" i="20"/>
  <c r="D270" i="20"/>
  <c r="C270" i="20"/>
  <c r="D269" i="20"/>
  <c r="C269" i="20"/>
  <c r="D268" i="20"/>
  <c r="C268" i="20"/>
  <c r="D267" i="20"/>
  <c r="C267" i="20"/>
  <c r="D266" i="20"/>
  <c r="C266" i="20"/>
  <c r="D265" i="20"/>
  <c r="C265" i="20"/>
  <c r="D264" i="20"/>
  <c r="C264" i="20"/>
  <c r="D263" i="20"/>
  <c r="C263" i="20"/>
  <c r="D262" i="20"/>
  <c r="C262" i="20"/>
  <c r="D261" i="20"/>
  <c r="C261" i="20"/>
  <c r="D260" i="20"/>
  <c r="C260" i="20"/>
  <c r="D259" i="20"/>
  <c r="C259" i="20"/>
  <c r="D258" i="20"/>
  <c r="C258" i="20"/>
  <c r="D257" i="20"/>
  <c r="C257" i="20"/>
  <c r="D256" i="20"/>
  <c r="C256" i="20"/>
  <c r="D255" i="20"/>
  <c r="C255" i="20"/>
  <c r="D254" i="20"/>
  <c r="C254" i="20"/>
  <c r="D253" i="20"/>
  <c r="C253" i="20"/>
  <c r="D252" i="20"/>
  <c r="C252" i="20"/>
  <c r="D251" i="20"/>
  <c r="C251" i="20"/>
  <c r="D250" i="20"/>
  <c r="C250" i="20"/>
  <c r="D249" i="20"/>
  <c r="C249" i="20"/>
  <c r="D248" i="20"/>
  <c r="C248" i="20"/>
  <c r="D247" i="20"/>
  <c r="C247" i="20"/>
  <c r="D246" i="20"/>
  <c r="C246" i="20"/>
  <c r="D245" i="20"/>
  <c r="C245" i="20"/>
  <c r="D244" i="20"/>
  <c r="C244" i="20"/>
  <c r="D243" i="20"/>
  <c r="C243" i="20"/>
  <c r="D242" i="20"/>
  <c r="C242" i="20"/>
  <c r="D241" i="20"/>
  <c r="C241" i="20"/>
  <c r="D240" i="20"/>
  <c r="C240" i="20"/>
  <c r="D239" i="20"/>
  <c r="C239" i="20"/>
  <c r="D238" i="20"/>
  <c r="C238" i="20"/>
  <c r="D237" i="20"/>
  <c r="C237" i="20"/>
  <c r="D236" i="20"/>
  <c r="C236" i="20"/>
  <c r="D235" i="20"/>
  <c r="C235" i="20"/>
  <c r="D234" i="20"/>
  <c r="C234" i="20"/>
  <c r="D233" i="20"/>
  <c r="C233" i="20"/>
  <c r="D232" i="20"/>
  <c r="C232" i="20"/>
  <c r="D231" i="20"/>
  <c r="C231" i="20"/>
  <c r="D230" i="20"/>
  <c r="C230" i="20"/>
  <c r="D229" i="20"/>
  <c r="C229" i="20"/>
  <c r="D228" i="20"/>
  <c r="C228" i="20"/>
  <c r="D227" i="20"/>
  <c r="C227" i="20"/>
  <c r="D226" i="20"/>
  <c r="C226" i="20"/>
  <c r="D225" i="20"/>
  <c r="C225" i="20"/>
  <c r="D224" i="20"/>
  <c r="C224" i="20"/>
  <c r="D223" i="20"/>
  <c r="C223" i="20"/>
  <c r="D222" i="20"/>
  <c r="C222" i="20"/>
  <c r="D221" i="20"/>
  <c r="C221" i="20"/>
  <c r="D220" i="20"/>
  <c r="C220" i="20"/>
  <c r="D219" i="20"/>
  <c r="C219" i="20"/>
  <c r="D218" i="20"/>
  <c r="C218" i="20"/>
  <c r="D217" i="20"/>
  <c r="C217" i="20"/>
  <c r="D216" i="20"/>
  <c r="C216" i="20"/>
  <c r="D215" i="20"/>
  <c r="C215" i="20"/>
  <c r="D214" i="20"/>
  <c r="C214" i="20"/>
  <c r="D213" i="20"/>
  <c r="C213" i="20"/>
  <c r="D212" i="20"/>
  <c r="C212" i="20"/>
  <c r="D211" i="20"/>
  <c r="C211" i="20"/>
  <c r="D210" i="20"/>
  <c r="C210" i="20"/>
  <c r="D209" i="20"/>
  <c r="C209" i="20"/>
  <c r="D208" i="20"/>
  <c r="C208" i="20"/>
  <c r="D207" i="20"/>
  <c r="C207" i="20"/>
  <c r="D206" i="20"/>
  <c r="C206" i="20"/>
  <c r="D205" i="20"/>
  <c r="C205" i="20"/>
  <c r="D204" i="20"/>
  <c r="C204" i="20"/>
  <c r="D203" i="20"/>
  <c r="C203" i="20"/>
  <c r="D202" i="20"/>
  <c r="C202" i="20"/>
  <c r="D201" i="20"/>
  <c r="C201" i="20"/>
  <c r="D200" i="20"/>
  <c r="C200" i="20"/>
  <c r="D199" i="20"/>
  <c r="C199" i="20"/>
  <c r="D198" i="20"/>
  <c r="C198" i="20"/>
  <c r="D197" i="20"/>
  <c r="C197" i="20"/>
  <c r="D196" i="20"/>
  <c r="C196" i="20"/>
  <c r="D195" i="20"/>
  <c r="C195" i="20"/>
  <c r="D194" i="20"/>
  <c r="C194" i="20"/>
  <c r="D193" i="20"/>
  <c r="C193" i="20"/>
  <c r="D192" i="20"/>
  <c r="C192" i="20"/>
  <c r="D191" i="20"/>
  <c r="C191" i="20"/>
  <c r="D190" i="20"/>
  <c r="C190" i="20"/>
  <c r="D189" i="20"/>
  <c r="C189" i="20"/>
  <c r="D188" i="20"/>
  <c r="C188" i="20"/>
  <c r="D187" i="20"/>
  <c r="C187" i="20"/>
  <c r="D186" i="20"/>
  <c r="C186" i="20"/>
  <c r="D185" i="20"/>
  <c r="C185" i="20"/>
  <c r="D184" i="20"/>
  <c r="C184" i="20"/>
  <c r="D183" i="20"/>
  <c r="C183" i="20"/>
  <c r="D182" i="20"/>
  <c r="C182" i="20"/>
  <c r="D181" i="20"/>
  <c r="C181" i="20"/>
  <c r="D180" i="20"/>
  <c r="C180" i="20"/>
  <c r="D179" i="20"/>
  <c r="C179" i="20"/>
  <c r="D178" i="20"/>
  <c r="C178" i="20"/>
  <c r="D177" i="20"/>
  <c r="C177" i="20"/>
  <c r="D176" i="20"/>
  <c r="C176" i="20"/>
  <c r="D175" i="20"/>
  <c r="C175" i="20"/>
  <c r="D174" i="20"/>
  <c r="C174" i="20"/>
  <c r="D173" i="20"/>
  <c r="C173" i="20"/>
  <c r="D172" i="20"/>
  <c r="C172" i="20"/>
  <c r="D171" i="20"/>
  <c r="C171" i="20"/>
  <c r="D170" i="20"/>
  <c r="C170" i="20"/>
  <c r="D169" i="20"/>
  <c r="C169" i="20"/>
  <c r="D168" i="20"/>
  <c r="C168" i="20"/>
  <c r="D167" i="20"/>
  <c r="C167" i="20"/>
  <c r="D166" i="20"/>
  <c r="C166" i="20"/>
  <c r="D165" i="20"/>
  <c r="C165" i="20"/>
  <c r="D164" i="20"/>
  <c r="C164" i="20"/>
  <c r="D163" i="20"/>
  <c r="C163" i="20"/>
  <c r="D162" i="20"/>
  <c r="C162" i="20"/>
  <c r="D161" i="20"/>
  <c r="C161" i="20"/>
  <c r="D160" i="20"/>
  <c r="C160" i="20"/>
  <c r="D159" i="20"/>
  <c r="C159" i="20"/>
  <c r="D158" i="20"/>
  <c r="C158" i="20"/>
  <c r="D157" i="20"/>
  <c r="C157" i="20"/>
  <c r="D156" i="20"/>
  <c r="C156" i="20"/>
  <c r="D155" i="20"/>
  <c r="C155" i="20"/>
  <c r="D154" i="20"/>
  <c r="C154" i="20"/>
  <c r="D153" i="20"/>
  <c r="C153" i="20"/>
  <c r="D152" i="20"/>
  <c r="C152" i="20"/>
  <c r="D151" i="20"/>
  <c r="C151" i="20"/>
  <c r="D150" i="20"/>
  <c r="C150" i="20"/>
  <c r="D149" i="20"/>
  <c r="C149" i="20"/>
  <c r="D148" i="20"/>
  <c r="C148" i="20"/>
  <c r="D147" i="20"/>
  <c r="C147" i="20"/>
  <c r="D146" i="20"/>
  <c r="C146" i="20"/>
  <c r="D145" i="20"/>
  <c r="C145" i="20"/>
  <c r="D144" i="20"/>
  <c r="C144" i="20"/>
  <c r="D143" i="20"/>
  <c r="C143" i="20"/>
  <c r="D142" i="20"/>
  <c r="C142" i="20"/>
  <c r="D141" i="20"/>
  <c r="C141" i="20"/>
  <c r="D140" i="20"/>
  <c r="C140" i="20"/>
  <c r="D139" i="20"/>
  <c r="C139" i="20"/>
  <c r="D138" i="20"/>
  <c r="C138" i="20"/>
  <c r="D137" i="20"/>
  <c r="C137" i="20"/>
  <c r="D136" i="20"/>
  <c r="C136" i="20"/>
  <c r="D135" i="20"/>
  <c r="C135" i="20"/>
  <c r="D134" i="20"/>
  <c r="C134" i="20"/>
  <c r="D133" i="20"/>
  <c r="C133" i="20"/>
  <c r="D132" i="20"/>
  <c r="C132" i="20"/>
  <c r="D131" i="20"/>
  <c r="C131" i="20"/>
  <c r="D130" i="20"/>
  <c r="C130" i="20"/>
  <c r="D129" i="20"/>
  <c r="C129" i="20"/>
  <c r="D128" i="20"/>
  <c r="C128" i="20"/>
  <c r="D127" i="20"/>
  <c r="C127" i="20"/>
  <c r="D126" i="20"/>
  <c r="C126" i="20"/>
  <c r="D125" i="20"/>
  <c r="C125" i="20"/>
  <c r="D124" i="20"/>
  <c r="C124" i="20"/>
  <c r="D123" i="20"/>
  <c r="C123" i="20"/>
  <c r="D122" i="20"/>
  <c r="C122" i="20"/>
  <c r="D121" i="20"/>
  <c r="C121" i="20"/>
  <c r="D120" i="20"/>
  <c r="C120" i="20"/>
  <c r="D119" i="20"/>
  <c r="C119" i="20"/>
  <c r="D118" i="20"/>
  <c r="C118" i="20"/>
  <c r="D117" i="20"/>
  <c r="C117" i="20"/>
  <c r="D116" i="20"/>
  <c r="C116" i="20"/>
  <c r="D115" i="20"/>
  <c r="C115" i="20"/>
  <c r="D114" i="20"/>
  <c r="C114" i="20"/>
  <c r="D113" i="20"/>
  <c r="C113" i="20"/>
  <c r="D112" i="20"/>
  <c r="C112" i="20"/>
  <c r="D111" i="20"/>
  <c r="C111" i="20"/>
  <c r="D110" i="20"/>
  <c r="C110" i="20"/>
  <c r="D109" i="20"/>
  <c r="C109" i="20"/>
  <c r="D108" i="20"/>
  <c r="C108" i="20"/>
  <c r="D107" i="20"/>
  <c r="C107" i="20"/>
  <c r="D106" i="20"/>
  <c r="C106" i="20"/>
  <c r="D105" i="20"/>
  <c r="C105" i="20"/>
  <c r="D104" i="20"/>
  <c r="C104" i="20"/>
  <c r="D103" i="20"/>
  <c r="C103" i="20"/>
  <c r="D102" i="20"/>
  <c r="C102" i="20"/>
  <c r="D101" i="20"/>
  <c r="C101" i="20"/>
  <c r="D100" i="20"/>
  <c r="C100" i="20"/>
  <c r="D99" i="20"/>
  <c r="C99" i="20"/>
  <c r="D98" i="20"/>
  <c r="C98" i="20"/>
  <c r="D97" i="20"/>
  <c r="C97" i="20"/>
  <c r="D96" i="20"/>
  <c r="C96" i="20"/>
  <c r="D95" i="20"/>
  <c r="C95" i="20"/>
  <c r="D94" i="20"/>
  <c r="C94" i="20"/>
  <c r="D93" i="20"/>
  <c r="C93" i="20"/>
  <c r="D92" i="20"/>
  <c r="C92" i="20"/>
  <c r="D91" i="20"/>
  <c r="C91" i="20"/>
  <c r="D90" i="20"/>
  <c r="C90" i="20"/>
  <c r="D89" i="20"/>
  <c r="C89" i="20"/>
  <c r="D88" i="20"/>
  <c r="C88" i="20"/>
  <c r="D87" i="20"/>
  <c r="C87" i="20"/>
  <c r="D86" i="20"/>
  <c r="C86" i="20"/>
  <c r="D85" i="20"/>
  <c r="C85" i="20"/>
  <c r="D84" i="20"/>
  <c r="C84" i="20"/>
  <c r="D83" i="20"/>
  <c r="C83" i="20"/>
  <c r="D82" i="20"/>
  <c r="C82" i="20"/>
  <c r="D81" i="20"/>
  <c r="C81" i="20"/>
  <c r="D80" i="20"/>
  <c r="C80" i="20"/>
  <c r="D79" i="20"/>
  <c r="C79" i="20"/>
  <c r="D78" i="20"/>
  <c r="C78" i="20"/>
  <c r="D77" i="20"/>
  <c r="C77" i="20"/>
  <c r="D76" i="20"/>
  <c r="C76" i="20"/>
  <c r="D75" i="20"/>
  <c r="C75" i="20"/>
  <c r="D74" i="20"/>
  <c r="C74" i="20"/>
  <c r="D73" i="20"/>
  <c r="C73" i="20"/>
  <c r="D72" i="20"/>
  <c r="C72" i="20"/>
  <c r="D71" i="20"/>
  <c r="C71" i="20"/>
  <c r="D70" i="20"/>
  <c r="C70" i="20"/>
  <c r="D69" i="20"/>
  <c r="C69" i="20"/>
  <c r="D68" i="20"/>
  <c r="C68" i="20"/>
  <c r="D67" i="20"/>
  <c r="C67" i="20"/>
  <c r="D66" i="20"/>
  <c r="C66" i="20"/>
  <c r="D65" i="20"/>
  <c r="C65" i="20"/>
  <c r="D64" i="20"/>
  <c r="C64" i="20"/>
  <c r="D63" i="20"/>
  <c r="C63" i="20"/>
  <c r="D62" i="20"/>
  <c r="C62" i="20"/>
  <c r="D61" i="20"/>
  <c r="C61" i="20"/>
  <c r="D60" i="20"/>
  <c r="C60" i="20"/>
  <c r="D59" i="20"/>
  <c r="C59" i="20"/>
  <c r="D58" i="20"/>
  <c r="C58" i="20"/>
  <c r="D57" i="20"/>
  <c r="C57" i="20"/>
  <c r="D56" i="20"/>
  <c r="C56" i="20"/>
  <c r="D55" i="20"/>
  <c r="C55" i="20"/>
  <c r="D54" i="20"/>
  <c r="C54" i="20"/>
  <c r="D53" i="20"/>
  <c r="C53" i="20"/>
  <c r="D52" i="20"/>
  <c r="C52" i="20"/>
  <c r="D51" i="20"/>
  <c r="C51" i="20"/>
  <c r="D50" i="20"/>
  <c r="C50" i="20"/>
  <c r="D49" i="20"/>
  <c r="C49" i="20"/>
  <c r="D48" i="20"/>
  <c r="C48" i="20"/>
  <c r="D47" i="20"/>
  <c r="C47" i="20"/>
  <c r="D46" i="20"/>
  <c r="C46" i="20"/>
  <c r="D45" i="20"/>
  <c r="C45" i="20"/>
  <c r="D44" i="20"/>
  <c r="C44" i="20"/>
  <c r="D43" i="20"/>
  <c r="C43" i="20"/>
  <c r="D42" i="20"/>
  <c r="C42" i="20"/>
  <c r="D41" i="20"/>
  <c r="C41" i="20"/>
  <c r="D40" i="20"/>
  <c r="C40" i="20"/>
  <c r="D39" i="20"/>
  <c r="C39" i="20"/>
  <c r="D38" i="20"/>
  <c r="C38" i="20"/>
  <c r="D37" i="20"/>
  <c r="C37" i="20"/>
  <c r="D36" i="20"/>
  <c r="C36" i="20"/>
  <c r="D35" i="20"/>
  <c r="C35" i="20"/>
  <c r="D34" i="20"/>
  <c r="C34" i="20"/>
  <c r="D33" i="20"/>
  <c r="C33" i="20"/>
  <c r="D32" i="20"/>
  <c r="C32" i="20"/>
  <c r="D31" i="20"/>
  <c r="C31" i="20"/>
  <c r="D30" i="20"/>
  <c r="C30" i="20"/>
  <c r="D29" i="20"/>
  <c r="C29" i="20"/>
  <c r="D28" i="20"/>
  <c r="C28" i="20"/>
  <c r="D27" i="20"/>
  <c r="C27" i="20"/>
  <c r="D26" i="20"/>
  <c r="C26" i="20"/>
  <c r="D25" i="20"/>
  <c r="C25" i="20"/>
  <c r="D24" i="20"/>
  <c r="C24" i="20"/>
  <c r="D23" i="20"/>
  <c r="C23" i="20"/>
  <c r="D22" i="20"/>
  <c r="C22" i="20"/>
  <c r="D21" i="20"/>
  <c r="C21" i="20"/>
  <c r="D20" i="20"/>
  <c r="C20" i="20"/>
  <c r="D19" i="20"/>
  <c r="C19" i="20"/>
  <c r="D18" i="20"/>
  <c r="C18" i="20"/>
  <c r="D17" i="20"/>
  <c r="C17" i="20"/>
  <c r="D16" i="20"/>
  <c r="C16" i="20"/>
  <c r="D15" i="20"/>
  <c r="C15" i="20"/>
  <c r="D14" i="20"/>
  <c r="C14" i="20"/>
  <c r="D13" i="20"/>
  <c r="C13" i="20"/>
  <c r="D12" i="20"/>
  <c r="C12" i="20"/>
  <c r="D11" i="20"/>
  <c r="C11" i="20"/>
  <c r="D10" i="20"/>
  <c r="C10" i="20"/>
  <c r="D9" i="20"/>
  <c r="C9" i="20"/>
  <c r="D8" i="20"/>
  <c r="C8" i="20"/>
  <c r="D7" i="20"/>
  <c r="C7" i="20"/>
  <c r="D6" i="20"/>
  <c r="C6" i="20"/>
  <c r="D5" i="20"/>
  <c r="C5" i="20"/>
  <c r="D4" i="20"/>
  <c r="C4" i="20"/>
  <c r="D3" i="20"/>
  <c r="C3" i="20"/>
  <c r="D2" i="20"/>
  <c r="C2" i="20"/>
  <c r="J21" i="11"/>
  <c r="J25" i="11"/>
  <c r="J23" i="11"/>
  <c r="J22" i="11"/>
  <c r="J19" i="11"/>
  <c r="H13" i="11" l="1"/>
  <c r="H12" i="11"/>
  <c r="H11" i="11"/>
  <c r="H10" i="11"/>
  <c r="H9" i="11"/>
  <c r="D367" i="16" l="1"/>
  <c r="C367" i="16"/>
  <c r="D366" i="16"/>
  <c r="C366" i="16"/>
  <c r="D365" i="16"/>
  <c r="C365" i="16"/>
  <c r="D364" i="16"/>
  <c r="C364" i="16"/>
  <c r="D363" i="16"/>
  <c r="C363" i="16"/>
  <c r="D362" i="16"/>
  <c r="C362" i="16"/>
  <c r="D361" i="16"/>
  <c r="C361" i="16"/>
  <c r="D360" i="16"/>
  <c r="C360" i="16"/>
  <c r="D359" i="16"/>
  <c r="C359" i="16"/>
  <c r="D358" i="16"/>
  <c r="C358" i="16"/>
  <c r="D357" i="16"/>
  <c r="C357" i="16"/>
  <c r="D356" i="16"/>
  <c r="C356" i="16"/>
  <c r="D355" i="16"/>
  <c r="C355" i="16"/>
  <c r="D354" i="16"/>
  <c r="C354" i="16"/>
  <c r="D353" i="16"/>
  <c r="C353" i="16"/>
  <c r="D352" i="16"/>
  <c r="C352" i="16"/>
  <c r="D351" i="16"/>
  <c r="C351" i="16"/>
  <c r="D350" i="16"/>
  <c r="C350" i="16"/>
  <c r="D349" i="16"/>
  <c r="C349" i="16"/>
  <c r="D348" i="16"/>
  <c r="C348" i="16"/>
  <c r="D347" i="16"/>
  <c r="C347" i="16"/>
  <c r="D346" i="16"/>
  <c r="C346" i="16"/>
  <c r="D345" i="16"/>
  <c r="C345" i="16"/>
  <c r="D344" i="16"/>
  <c r="C344" i="16"/>
  <c r="D343" i="16"/>
  <c r="C343" i="16"/>
  <c r="D342" i="16"/>
  <c r="C342" i="16"/>
  <c r="D341" i="16"/>
  <c r="C341" i="16"/>
  <c r="D340" i="16"/>
  <c r="C340" i="16"/>
  <c r="D339" i="16"/>
  <c r="C339" i="16"/>
  <c r="D338" i="16"/>
  <c r="C338" i="16"/>
  <c r="D337" i="16"/>
  <c r="C337" i="16"/>
  <c r="D336" i="16"/>
  <c r="C336" i="16"/>
  <c r="D335" i="16"/>
  <c r="C335" i="16"/>
  <c r="D334" i="16"/>
  <c r="C334" i="16"/>
  <c r="D333" i="16"/>
  <c r="C333" i="16"/>
  <c r="D332" i="16"/>
  <c r="C332" i="16"/>
  <c r="D331" i="16"/>
  <c r="C331" i="16"/>
  <c r="D330" i="16"/>
  <c r="C330" i="16"/>
  <c r="D329" i="16"/>
  <c r="C329" i="16"/>
  <c r="D328" i="16"/>
  <c r="C328" i="16"/>
  <c r="D327" i="16"/>
  <c r="C327" i="16"/>
  <c r="D326" i="16"/>
  <c r="C326" i="16"/>
  <c r="D325" i="16"/>
  <c r="C325" i="16"/>
  <c r="D324" i="16"/>
  <c r="C324" i="16"/>
  <c r="D323" i="16"/>
  <c r="C323" i="16"/>
  <c r="D322" i="16"/>
  <c r="C322" i="16"/>
  <c r="D321" i="16"/>
  <c r="C321" i="16"/>
  <c r="D320" i="16"/>
  <c r="C320" i="16"/>
  <c r="D319" i="16"/>
  <c r="C319" i="16"/>
  <c r="D318" i="16"/>
  <c r="C318" i="16"/>
  <c r="D317" i="16"/>
  <c r="C317" i="16"/>
  <c r="D316" i="16"/>
  <c r="C316" i="16"/>
  <c r="D315" i="16"/>
  <c r="C315" i="16"/>
  <c r="D314" i="16"/>
  <c r="C314" i="16"/>
  <c r="D313" i="16"/>
  <c r="C313" i="16"/>
  <c r="D312" i="16"/>
  <c r="C312" i="16"/>
  <c r="D311" i="16"/>
  <c r="C311" i="16"/>
  <c r="D310" i="16"/>
  <c r="C310" i="16"/>
  <c r="D309" i="16"/>
  <c r="C309" i="16"/>
  <c r="D308" i="16"/>
  <c r="C308" i="16"/>
  <c r="D307" i="16"/>
  <c r="C307" i="16"/>
  <c r="D306" i="16"/>
  <c r="C306" i="16"/>
  <c r="D305" i="16"/>
  <c r="C305" i="16"/>
  <c r="D304" i="16"/>
  <c r="C304" i="16"/>
  <c r="D303" i="16"/>
  <c r="C303" i="16"/>
  <c r="D302" i="16"/>
  <c r="C302" i="16"/>
  <c r="D301" i="16"/>
  <c r="C301" i="16"/>
  <c r="D300" i="16"/>
  <c r="C300" i="16"/>
  <c r="D299" i="16"/>
  <c r="C299" i="16"/>
  <c r="D298" i="16"/>
  <c r="C298" i="16"/>
  <c r="D297" i="16"/>
  <c r="C297" i="16"/>
  <c r="D296" i="16"/>
  <c r="C296" i="16"/>
  <c r="D295" i="16"/>
  <c r="C295" i="16"/>
  <c r="D294" i="16"/>
  <c r="C294" i="16"/>
  <c r="D293" i="16"/>
  <c r="C293" i="16"/>
  <c r="D292" i="16"/>
  <c r="C292" i="16"/>
  <c r="D291" i="16"/>
  <c r="C291" i="16"/>
  <c r="D290" i="16"/>
  <c r="C290" i="16"/>
  <c r="D289" i="16"/>
  <c r="C289" i="16"/>
  <c r="D288" i="16"/>
  <c r="C288" i="16"/>
  <c r="D287" i="16"/>
  <c r="C287" i="16"/>
  <c r="D286" i="16"/>
  <c r="C286" i="16"/>
  <c r="D285" i="16"/>
  <c r="C285" i="16"/>
  <c r="D284" i="16"/>
  <c r="C284" i="16"/>
  <c r="D283" i="16"/>
  <c r="C283" i="16"/>
  <c r="D282" i="16"/>
  <c r="C282" i="16"/>
  <c r="D281" i="16"/>
  <c r="C281" i="16"/>
  <c r="D280" i="16"/>
  <c r="C280" i="16"/>
  <c r="D279" i="16"/>
  <c r="C279" i="16"/>
  <c r="D278" i="16"/>
  <c r="C278" i="16"/>
  <c r="D277" i="16"/>
  <c r="C277" i="16"/>
  <c r="D276" i="16"/>
  <c r="C276" i="16"/>
  <c r="D275" i="16"/>
  <c r="C275" i="16"/>
  <c r="D274" i="16"/>
  <c r="C274" i="16"/>
  <c r="D273" i="16"/>
  <c r="C273" i="16"/>
  <c r="D272" i="16"/>
  <c r="C272" i="16"/>
  <c r="D271" i="16"/>
  <c r="C271" i="16"/>
  <c r="D270" i="16"/>
  <c r="C270" i="16"/>
  <c r="D269" i="16"/>
  <c r="C269" i="16"/>
  <c r="D268" i="16"/>
  <c r="C268" i="16"/>
  <c r="D267" i="16"/>
  <c r="C267" i="16"/>
  <c r="D266" i="16"/>
  <c r="C266" i="16"/>
  <c r="D265" i="16"/>
  <c r="C265" i="16"/>
  <c r="D264" i="16"/>
  <c r="C264" i="16"/>
  <c r="D263" i="16"/>
  <c r="C263" i="16"/>
  <c r="D262" i="16"/>
  <c r="C262" i="16"/>
  <c r="D261" i="16"/>
  <c r="C261" i="16"/>
  <c r="D260" i="16"/>
  <c r="C260" i="16"/>
  <c r="D259" i="16"/>
  <c r="C259" i="16"/>
  <c r="D258" i="16"/>
  <c r="C258" i="16"/>
  <c r="D257" i="16"/>
  <c r="C257" i="16"/>
  <c r="D256" i="16"/>
  <c r="C256" i="16"/>
  <c r="D255" i="16"/>
  <c r="C255" i="16"/>
  <c r="D254" i="16"/>
  <c r="C254" i="16"/>
  <c r="D253" i="16"/>
  <c r="C253" i="16"/>
  <c r="D252" i="16"/>
  <c r="C252" i="16"/>
  <c r="D251" i="16"/>
  <c r="C251" i="16"/>
  <c r="D250" i="16"/>
  <c r="C250" i="16"/>
  <c r="D249" i="16"/>
  <c r="C249" i="16"/>
  <c r="D248" i="16"/>
  <c r="C248" i="16"/>
  <c r="D247" i="16"/>
  <c r="C247" i="16"/>
  <c r="D246" i="16"/>
  <c r="C246" i="16"/>
  <c r="D245" i="16"/>
  <c r="C245" i="16"/>
  <c r="D244" i="16"/>
  <c r="C244" i="16"/>
  <c r="D243" i="16"/>
  <c r="C243" i="16"/>
  <c r="D242" i="16"/>
  <c r="C242" i="16"/>
  <c r="D241" i="16"/>
  <c r="C241" i="16"/>
  <c r="D240" i="16"/>
  <c r="C240" i="16"/>
  <c r="D239" i="16"/>
  <c r="C239" i="16"/>
  <c r="D238" i="16"/>
  <c r="C238" i="16"/>
  <c r="D237" i="16"/>
  <c r="C237" i="16"/>
  <c r="D236" i="16"/>
  <c r="C236" i="16"/>
  <c r="D235" i="16"/>
  <c r="C235" i="16"/>
  <c r="D234" i="16"/>
  <c r="C234" i="16"/>
  <c r="D233" i="16"/>
  <c r="C233" i="16"/>
  <c r="D232" i="16"/>
  <c r="C232" i="16"/>
  <c r="D231" i="16"/>
  <c r="C231" i="16"/>
  <c r="D230" i="16"/>
  <c r="C230" i="16"/>
  <c r="D229" i="16"/>
  <c r="C229" i="16"/>
  <c r="D228" i="16"/>
  <c r="C228" i="16"/>
  <c r="D227" i="16"/>
  <c r="C227" i="16"/>
  <c r="D226" i="16"/>
  <c r="C226" i="16"/>
  <c r="D225" i="16"/>
  <c r="C225" i="16"/>
  <c r="D224" i="16"/>
  <c r="C224" i="16"/>
  <c r="D223" i="16"/>
  <c r="C223" i="16"/>
  <c r="D222" i="16"/>
  <c r="C222" i="16"/>
  <c r="D221" i="16"/>
  <c r="C221" i="16"/>
  <c r="D220" i="16"/>
  <c r="C220" i="16"/>
  <c r="D219" i="16"/>
  <c r="C219" i="16"/>
  <c r="D218" i="16"/>
  <c r="C218" i="16"/>
  <c r="D217" i="16"/>
  <c r="C217" i="16"/>
  <c r="D216" i="16"/>
  <c r="C216" i="16"/>
  <c r="D215" i="16"/>
  <c r="C215" i="16"/>
  <c r="D214" i="16"/>
  <c r="C214" i="16"/>
  <c r="D213" i="16"/>
  <c r="C213" i="16"/>
  <c r="D212" i="16"/>
  <c r="C212" i="16"/>
  <c r="D211" i="16"/>
  <c r="C211" i="16"/>
  <c r="D210" i="16"/>
  <c r="C210" i="16"/>
  <c r="D209" i="16"/>
  <c r="C209" i="16"/>
  <c r="D208" i="16"/>
  <c r="C208" i="16"/>
  <c r="D207" i="16"/>
  <c r="C207" i="16"/>
  <c r="D206" i="16"/>
  <c r="C206" i="16"/>
  <c r="D205" i="16"/>
  <c r="C205" i="16"/>
  <c r="D204" i="16"/>
  <c r="C204" i="16"/>
  <c r="D203" i="16"/>
  <c r="C203" i="16"/>
  <c r="D202" i="16"/>
  <c r="C202" i="16"/>
  <c r="D201" i="16"/>
  <c r="C201" i="16"/>
  <c r="D200" i="16"/>
  <c r="C200" i="16"/>
  <c r="D199" i="16"/>
  <c r="C199" i="16"/>
  <c r="D198" i="16"/>
  <c r="C198" i="16"/>
  <c r="D197" i="16"/>
  <c r="C197" i="16"/>
  <c r="D196" i="16"/>
  <c r="C196" i="16"/>
  <c r="D195" i="16"/>
  <c r="C195" i="16"/>
  <c r="D194" i="16"/>
  <c r="C194" i="16"/>
  <c r="D193" i="16"/>
  <c r="C193" i="16"/>
  <c r="D192" i="16"/>
  <c r="C192" i="16"/>
  <c r="D191" i="16"/>
  <c r="C191" i="16"/>
  <c r="D190" i="16"/>
  <c r="C190" i="16"/>
  <c r="D189" i="16"/>
  <c r="C189" i="16"/>
  <c r="D188" i="16"/>
  <c r="C188" i="16"/>
  <c r="D187" i="16"/>
  <c r="C187" i="16"/>
  <c r="D186" i="16"/>
  <c r="C186" i="16"/>
  <c r="D185" i="16"/>
  <c r="C185" i="16"/>
  <c r="D184" i="16"/>
  <c r="C184" i="16"/>
  <c r="D183" i="16"/>
  <c r="C183" i="16"/>
  <c r="D182" i="16"/>
  <c r="C182" i="16"/>
  <c r="D181" i="16"/>
  <c r="C181" i="16"/>
  <c r="D180" i="16"/>
  <c r="C180" i="16"/>
  <c r="D179" i="16"/>
  <c r="C179" i="16"/>
  <c r="D178" i="16"/>
  <c r="C178" i="16"/>
  <c r="D177" i="16"/>
  <c r="C177" i="16"/>
  <c r="D176" i="16"/>
  <c r="C176" i="16"/>
  <c r="D175" i="16"/>
  <c r="C175" i="16"/>
  <c r="D174" i="16"/>
  <c r="C174" i="16"/>
  <c r="D173" i="16"/>
  <c r="C173" i="16"/>
  <c r="D172" i="16"/>
  <c r="C172" i="16"/>
  <c r="D171" i="16"/>
  <c r="C171" i="16"/>
  <c r="D170" i="16"/>
  <c r="C170" i="16"/>
  <c r="D169" i="16"/>
  <c r="C169" i="16"/>
  <c r="D168" i="16"/>
  <c r="C168" i="16"/>
  <c r="D167" i="16"/>
  <c r="C167" i="16"/>
  <c r="D166" i="16"/>
  <c r="C166" i="16"/>
  <c r="D165" i="16"/>
  <c r="C165" i="16"/>
  <c r="D164" i="16"/>
  <c r="C164" i="16"/>
  <c r="D163" i="16"/>
  <c r="C163" i="16"/>
  <c r="D162" i="16"/>
  <c r="C162" i="16"/>
  <c r="D161" i="16"/>
  <c r="C161" i="16"/>
  <c r="D160" i="16"/>
  <c r="C160" i="16"/>
  <c r="D159" i="16"/>
  <c r="C159" i="16"/>
  <c r="D158" i="16"/>
  <c r="C158" i="16"/>
  <c r="D157" i="16"/>
  <c r="C157" i="16"/>
  <c r="D156" i="16"/>
  <c r="C156" i="16"/>
  <c r="D155" i="16"/>
  <c r="C155" i="16"/>
  <c r="D154" i="16"/>
  <c r="C154" i="16"/>
  <c r="D153" i="16"/>
  <c r="C153" i="16"/>
  <c r="D152" i="16"/>
  <c r="C152" i="16"/>
  <c r="D151" i="16"/>
  <c r="C151" i="16"/>
  <c r="D150" i="16"/>
  <c r="C150" i="16"/>
  <c r="D149" i="16"/>
  <c r="C149" i="16"/>
  <c r="D148" i="16"/>
  <c r="C148" i="16"/>
  <c r="D147" i="16"/>
  <c r="C147" i="16"/>
  <c r="D146" i="16"/>
  <c r="C146" i="16"/>
  <c r="D145" i="16"/>
  <c r="C145" i="16"/>
  <c r="D144" i="16"/>
  <c r="C144" i="16"/>
  <c r="D143" i="16"/>
  <c r="C143" i="16"/>
  <c r="D142" i="16"/>
  <c r="C142" i="16"/>
  <c r="D141" i="16"/>
  <c r="C141" i="16"/>
  <c r="D140" i="16"/>
  <c r="C140" i="16"/>
  <c r="D139" i="16"/>
  <c r="C139" i="16"/>
  <c r="D138" i="16"/>
  <c r="C138" i="16"/>
  <c r="D137" i="16"/>
  <c r="C137" i="16"/>
  <c r="D136" i="16"/>
  <c r="C136" i="16"/>
  <c r="D135" i="16"/>
  <c r="C135" i="16"/>
  <c r="D134" i="16"/>
  <c r="C134" i="16"/>
  <c r="D133" i="16"/>
  <c r="C133" i="16"/>
  <c r="D132" i="16"/>
  <c r="C132" i="16"/>
  <c r="D131" i="16"/>
  <c r="C131" i="16"/>
  <c r="D130" i="16"/>
  <c r="C130" i="16"/>
  <c r="D129" i="16"/>
  <c r="C129" i="16"/>
  <c r="D128" i="16"/>
  <c r="C128" i="16"/>
  <c r="D127" i="16"/>
  <c r="C127" i="16"/>
  <c r="D126" i="16"/>
  <c r="C126" i="16"/>
  <c r="D125" i="16"/>
  <c r="C125" i="16"/>
  <c r="D124" i="16"/>
  <c r="C124" i="16"/>
  <c r="D123" i="16"/>
  <c r="C123" i="16"/>
  <c r="D122" i="16"/>
  <c r="C122" i="16"/>
  <c r="D121" i="16"/>
  <c r="C121" i="16"/>
  <c r="D120" i="16"/>
  <c r="C120" i="16"/>
  <c r="D119" i="16"/>
  <c r="C119" i="16"/>
  <c r="D118" i="16"/>
  <c r="C118" i="16"/>
  <c r="D117" i="16"/>
  <c r="C117" i="16"/>
  <c r="D116" i="16"/>
  <c r="C116" i="16"/>
  <c r="D115" i="16"/>
  <c r="C115" i="16"/>
  <c r="D114" i="16"/>
  <c r="C114" i="16"/>
  <c r="D113" i="16"/>
  <c r="C113" i="16"/>
  <c r="D112" i="16"/>
  <c r="C112" i="16"/>
  <c r="D111" i="16"/>
  <c r="C111" i="16"/>
  <c r="D110" i="16"/>
  <c r="C110" i="16"/>
  <c r="D109" i="16"/>
  <c r="C109" i="16"/>
  <c r="D108" i="16"/>
  <c r="C108" i="16"/>
  <c r="D107" i="16"/>
  <c r="C107" i="16"/>
  <c r="D106" i="16"/>
  <c r="C106" i="16"/>
  <c r="D105" i="16"/>
  <c r="C105" i="16"/>
  <c r="D104" i="16"/>
  <c r="C104" i="16"/>
  <c r="D103" i="16"/>
  <c r="C103" i="16"/>
  <c r="D102" i="16"/>
  <c r="C102" i="16"/>
  <c r="D101" i="16"/>
  <c r="C101" i="16"/>
  <c r="D100" i="16"/>
  <c r="C100" i="16"/>
  <c r="D99" i="16"/>
  <c r="C99" i="16"/>
  <c r="D98" i="16"/>
  <c r="C98" i="16"/>
  <c r="D97" i="16"/>
  <c r="C97" i="16"/>
  <c r="D96" i="16"/>
  <c r="C96" i="16"/>
  <c r="D95" i="16"/>
  <c r="C95" i="16"/>
  <c r="D94" i="16"/>
  <c r="C94" i="16"/>
  <c r="D93" i="16"/>
  <c r="C93" i="16"/>
  <c r="D92" i="16"/>
  <c r="C92" i="16"/>
  <c r="D91" i="16"/>
  <c r="C91" i="16"/>
  <c r="D90" i="16"/>
  <c r="C90" i="16"/>
  <c r="D89" i="16"/>
  <c r="C89" i="16"/>
  <c r="D88" i="16"/>
  <c r="C88" i="16"/>
  <c r="D87" i="16"/>
  <c r="C87" i="16"/>
  <c r="D86" i="16"/>
  <c r="C86" i="16"/>
  <c r="D85" i="16"/>
  <c r="C85" i="16"/>
  <c r="D84" i="16"/>
  <c r="C84" i="16"/>
  <c r="D83" i="16"/>
  <c r="C83" i="16"/>
  <c r="D82" i="16"/>
  <c r="C82" i="16"/>
  <c r="D81" i="16"/>
  <c r="C81" i="16"/>
  <c r="D80" i="16"/>
  <c r="C80" i="16"/>
  <c r="D79" i="16"/>
  <c r="C79" i="16"/>
  <c r="D78" i="16"/>
  <c r="C78" i="16"/>
  <c r="D77" i="16"/>
  <c r="C77" i="16"/>
  <c r="D76" i="16"/>
  <c r="C76" i="16"/>
  <c r="D75" i="16"/>
  <c r="C75" i="16"/>
  <c r="D74" i="16"/>
  <c r="C74" i="16"/>
  <c r="D73" i="16"/>
  <c r="C73" i="16"/>
  <c r="D72" i="16"/>
  <c r="C72" i="16"/>
  <c r="D71" i="16"/>
  <c r="C71" i="16"/>
  <c r="D70" i="16"/>
  <c r="C70" i="16"/>
  <c r="D69" i="16"/>
  <c r="C69" i="16"/>
  <c r="D68" i="16"/>
  <c r="C68" i="16"/>
  <c r="D67" i="16"/>
  <c r="C67" i="16"/>
  <c r="D66" i="16"/>
  <c r="C66" i="16"/>
  <c r="D65" i="16"/>
  <c r="C65" i="16"/>
  <c r="D64" i="16"/>
  <c r="C64" i="16"/>
  <c r="D63" i="16"/>
  <c r="C63" i="16"/>
  <c r="D62" i="16"/>
  <c r="C62" i="16"/>
  <c r="D61" i="16"/>
  <c r="C61" i="16"/>
  <c r="D60" i="16"/>
  <c r="C60" i="16"/>
  <c r="D59" i="16"/>
  <c r="C59" i="16"/>
  <c r="D58" i="16"/>
  <c r="C58" i="16"/>
  <c r="D57" i="16"/>
  <c r="C57" i="16"/>
  <c r="D56" i="16"/>
  <c r="C56" i="16"/>
  <c r="D55" i="16"/>
  <c r="C55" i="16"/>
  <c r="D54" i="16"/>
  <c r="C54" i="16"/>
  <c r="D53" i="16"/>
  <c r="C53" i="16"/>
  <c r="D52" i="16"/>
  <c r="C52" i="16"/>
  <c r="D51" i="16"/>
  <c r="C51" i="16"/>
  <c r="D50" i="16"/>
  <c r="C50" i="16"/>
  <c r="D49" i="16"/>
  <c r="C49" i="16"/>
  <c r="D48" i="16"/>
  <c r="C48" i="16"/>
  <c r="D47" i="16"/>
  <c r="C47" i="16"/>
  <c r="D46" i="16"/>
  <c r="C46" i="16"/>
  <c r="D45" i="16"/>
  <c r="C45" i="16"/>
  <c r="D44" i="16"/>
  <c r="C44" i="16"/>
  <c r="D43" i="16"/>
  <c r="C43" i="16"/>
  <c r="D42" i="16"/>
  <c r="C42" i="16"/>
  <c r="D41" i="16"/>
  <c r="C41" i="16"/>
  <c r="D40" i="16"/>
  <c r="C40" i="16"/>
  <c r="D39" i="16"/>
  <c r="C39" i="16"/>
  <c r="D38" i="16"/>
  <c r="C38" i="16"/>
  <c r="D37" i="16"/>
  <c r="C37" i="16"/>
  <c r="D36" i="16"/>
  <c r="C36" i="16"/>
  <c r="D35" i="16"/>
  <c r="C35" i="16"/>
  <c r="D34" i="16"/>
  <c r="C34" i="16"/>
  <c r="D33" i="16"/>
  <c r="C33" i="16"/>
  <c r="D32" i="16"/>
  <c r="C32" i="16"/>
  <c r="D31" i="16"/>
  <c r="C31" i="16"/>
  <c r="D30" i="16"/>
  <c r="C30" i="16"/>
  <c r="D29" i="16"/>
  <c r="C29" i="16"/>
  <c r="D28" i="16"/>
  <c r="C28" i="16"/>
  <c r="D27" i="16"/>
  <c r="C27" i="16"/>
  <c r="D26" i="16"/>
  <c r="C26" i="16"/>
  <c r="D25" i="16"/>
  <c r="C25" i="16"/>
  <c r="D24" i="16"/>
  <c r="C24" i="16"/>
  <c r="D23" i="16"/>
  <c r="C23" i="16"/>
  <c r="D22" i="16"/>
  <c r="C22" i="16"/>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4" i="16"/>
  <c r="C4" i="16"/>
  <c r="D3" i="16"/>
  <c r="C3" i="16"/>
  <c r="D2" i="16"/>
  <c r="C2" i="16"/>
  <c r="B367" i="16"/>
  <c r="B366" i="16"/>
  <c r="B365" i="16"/>
  <c r="B364" i="16"/>
  <c r="B363" i="16"/>
  <c r="B362" i="16"/>
  <c r="B361" i="16"/>
  <c r="B360" i="16"/>
  <c r="B359" i="16"/>
  <c r="B358" i="16"/>
  <c r="B357" i="16"/>
  <c r="B356" i="16"/>
  <c r="B355" i="16"/>
  <c r="B354" i="16"/>
  <c r="B353" i="16"/>
  <c r="B352" i="16"/>
  <c r="B351" i="16"/>
  <c r="B350" i="16"/>
  <c r="B349" i="16"/>
  <c r="B348" i="16"/>
  <c r="B347" i="16"/>
  <c r="B346" i="16"/>
  <c r="B345" i="16"/>
  <c r="B344" i="16"/>
  <c r="B343" i="16"/>
  <c r="B342" i="16"/>
  <c r="B341" i="16"/>
  <c r="B340" i="16"/>
  <c r="B339" i="16"/>
  <c r="B338" i="16"/>
  <c r="B337" i="16"/>
  <c r="B336" i="16"/>
  <c r="B335" i="16"/>
  <c r="B334" i="16"/>
  <c r="B333" i="16"/>
  <c r="B332" i="16"/>
  <c r="B331" i="16"/>
  <c r="B330" i="16"/>
  <c r="B329" i="16"/>
  <c r="B328" i="16"/>
  <c r="B327" i="16"/>
  <c r="B326" i="16"/>
  <c r="B325" i="16"/>
  <c r="B324" i="16"/>
  <c r="B323" i="16"/>
  <c r="B322" i="16"/>
  <c r="B321" i="16"/>
  <c r="B320" i="16"/>
  <c r="B319" i="16"/>
  <c r="B318" i="16"/>
  <c r="B317" i="16"/>
  <c r="B316" i="16"/>
  <c r="B315" i="16"/>
  <c r="B314" i="16"/>
  <c r="B313" i="16"/>
  <c r="B312" i="16"/>
  <c r="B311" i="16"/>
  <c r="B310" i="16"/>
  <c r="B309" i="16"/>
  <c r="B308" i="16"/>
  <c r="B307" i="16"/>
  <c r="B306" i="16"/>
  <c r="B305" i="16"/>
  <c r="B304" i="16"/>
  <c r="B303" i="16"/>
  <c r="B302" i="16"/>
  <c r="B301" i="16"/>
  <c r="B300" i="16"/>
  <c r="B299" i="16"/>
  <c r="B298" i="16"/>
  <c r="B297" i="16"/>
  <c r="B296" i="16"/>
  <c r="B295" i="16"/>
  <c r="B294" i="16"/>
  <c r="B293" i="16"/>
  <c r="B292" i="16"/>
  <c r="B291" i="16"/>
  <c r="B290" i="16"/>
  <c r="B289" i="16"/>
  <c r="B288" i="16"/>
  <c r="B287" i="16"/>
  <c r="B286" i="16"/>
  <c r="B285" i="16"/>
  <c r="B284" i="16"/>
  <c r="B283" i="16"/>
  <c r="B282" i="16"/>
  <c r="B281" i="16"/>
  <c r="B280" i="16"/>
  <c r="B279" i="16"/>
  <c r="B278" i="16"/>
  <c r="B277" i="16"/>
  <c r="B276" i="16"/>
  <c r="B275" i="16"/>
  <c r="B274" i="16"/>
  <c r="B273" i="16"/>
  <c r="B272" i="16"/>
  <c r="B271" i="16"/>
  <c r="B270" i="16"/>
  <c r="B269" i="16"/>
  <c r="B268" i="16"/>
  <c r="B267" i="16"/>
  <c r="B266" i="16"/>
  <c r="B265" i="16"/>
  <c r="B264" i="16"/>
  <c r="B263" i="16"/>
  <c r="B262" i="16"/>
  <c r="B261" i="16"/>
  <c r="B260" i="16"/>
  <c r="B259" i="16"/>
  <c r="B258" i="16"/>
  <c r="B257" i="16"/>
  <c r="B256" i="16"/>
  <c r="B255" i="16"/>
  <c r="B254" i="16"/>
  <c r="B253" i="16"/>
  <c r="B252" i="16"/>
  <c r="B251" i="16"/>
  <c r="B250" i="16"/>
  <c r="B249" i="16"/>
  <c r="B248" i="16"/>
  <c r="B247" i="16"/>
  <c r="B246" i="16"/>
  <c r="B245" i="16"/>
  <c r="B244" i="16"/>
  <c r="B243" i="16"/>
  <c r="B242" i="16"/>
  <c r="B241" i="16"/>
  <c r="B240" i="16"/>
  <c r="B239" i="16"/>
  <c r="B238" i="16"/>
  <c r="B237" i="16"/>
  <c r="B236" i="16"/>
  <c r="B235" i="16"/>
  <c r="B234" i="16"/>
  <c r="B233" i="16"/>
  <c r="B232" i="16"/>
  <c r="B231" i="16"/>
  <c r="B230" i="16"/>
  <c r="B229" i="16"/>
  <c r="B228" i="16"/>
  <c r="B227" i="16"/>
  <c r="B226" i="16"/>
  <c r="B225" i="16"/>
  <c r="B224" i="16"/>
  <c r="B223" i="16"/>
  <c r="B222" i="16"/>
  <c r="B221" i="16"/>
  <c r="B220" i="16"/>
  <c r="B219" i="16"/>
  <c r="B218" i="16"/>
  <c r="B217" i="16"/>
  <c r="B216" i="16"/>
  <c r="B215" i="16"/>
  <c r="B214" i="16"/>
  <c r="B213" i="16"/>
  <c r="B212" i="16"/>
  <c r="B211" i="16"/>
  <c r="B210" i="16"/>
  <c r="B209" i="16"/>
  <c r="B208" i="16"/>
  <c r="B207" i="16"/>
  <c r="B206" i="16"/>
  <c r="B205" i="16"/>
  <c r="B204" i="16"/>
  <c r="B203" i="16"/>
  <c r="B202" i="16"/>
  <c r="B201" i="16"/>
  <c r="B200" i="16"/>
  <c r="B199" i="16"/>
  <c r="B198" i="16"/>
  <c r="B197" i="16"/>
  <c r="B196" i="16"/>
  <c r="B195" i="16"/>
  <c r="B194" i="16"/>
  <c r="B193" i="16"/>
  <c r="B192" i="16"/>
  <c r="B191" i="16"/>
  <c r="B190" i="16"/>
  <c r="B189" i="16"/>
  <c r="B188" i="16"/>
  <c r="B187" i="16"/>
  <c r="B186" i="16"/>
  <c r="B185" i="16"/>
  <c r="B184" i="16"/>
  <c r="B183" i="16"/>
  <c r="B182" i="16"/>
  <c r="B181" i="16"/>
  <c r="B180" i="16"/>
  <c r="B179" i="16"/>
  <c r="B178" i="16"/>
  <c r="B177" i="16"/>
  <c r="B176" i="16"/>
  <c r="B175" i="16"/>
  <c r="B174" i="16"/>
  <c r="B173" i="16"/>
  <c r="B172" i="16"/>
  <c r="B171" i="16"/>
  <c r="B170" i="16"/>
  <c r="B169" i="16"/>
  <c r="B168" i="16"/>
  <c r="B167" i="16"/>
  <c r="B166" i="16"/>
  <c r="B165" i="16"/>
  <c r="B164" i="16"/>
  <c r="B163" i="16"/>
  <c r="B162" i="16"/>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B2" i="16"/>
  <c r="J9" i="11"/>
  <c r="I10" i="11" s="1"/>
  <c r="L5" i="11" l="1"/>
  <c r="J10" i="11"/>
  <c r="I11" i="11"/>
  <c r="L18" i="11" l="1"/>
  <c r="L24" i="11"/>
  <c r="L4" i="11"/>
  <c r="L7" i="11"/>
  <c r="M5" i="11"/>
  <c r="L21" i="11"/>
  <c r="L23" i="11"/>
  <c r="L9" i="11"/>
  <c r="L10" i="11"/>
  <c r="L22" i="11"/>
  <c r="L17" i="11"/>
  <c r="L16" i="11"/>
  <c r="L15" i="11"/>
  <c r="L25" i="11"/>
  <c r="J11" i="11"/>
  <c r="L11" i="11" l="1"/>
  <c r="M24" i="11"/>
  <c r="M21" i="11"/>
  <c r="M18" i="11"/>
  <c r="M9" i="11"/>
  <c r="M10" i="11"/>
  <c r="M7" i="11"/>
  <c r="N5" i="11"/>
  <c r="M23" i="11"/>
  <c r="M22" i="11"/>
  <c r="M11" i="11"/>
  <c r="M17" i="11"/>
  <c r="M16" i="11"/>
  <c r="M15" i="11"/>
  <c r="I12" i="11"/>
  <c r="M25" i="11"/>
  <c r="N24" i="11" l="1"/>
  <c r="N18" i="11"/>
  <c r="N10" i="11"/>
  <c r="N9" i="11"/>
  <c r="N7" i="11"/>
  <c r="O5" i="11"/>
  <c r="N23" i="11"/>
  <c r="N22" i="11"/>
  <c r="N11" i="11"/>
  <c r="N21" i="11"/>
  <c r="N17" i="11"/>
  <c r="N16" i="11"/>
  <c r="J12" i="11"/>
  <c r="N15" i="11"/>
  <c r="N25" i="11"/>
  <c r="L12" i="11" l="1"/>
  <c r="M12" i="11"/>
  <c r="N12" i="11"/>
  <c r="O24" i="11"/>
  <c r="O18" i="11"/>
  <c r="O12" i="11"/>
  <c r="O7" i="11"/>
  <c r="P5" i="11"/>
  <c r="O10" i="11"/>
  <c r="O9" i="11"/>
  <c r="O23" i="11"/>
  <c r="O22" i="11"/>
  <c r="O11" i="11"/>
  <c r="O21" i="11"/>
  <c r="O17" i="11"/>
  <c r="O16" i="11"/>
  <c r="I13" i="11"/>
  <c r="O25" i="11"/>
  <c r="O15" i="11"/>
  <c r="P24" i="11" l="1"/>
  <c r="P18" i="11"/>
  <c r="P10" i="11"/>
  <c r="P9" i="11"/>
  <c r="P7" i="11"/>
  <c r="Q5" i="11"/>
  <c r="P23" i="11"/>
  <c r="P22" i="11"/>
  <c r="P11" i="11"/>
  <c r="P12" i="11"/>
  <c r="P21" i="11"/>
  <c r="P17" i="11"/>
  <c r="J13" i="11"/>
  <c r="P15" i="11"/>
  <c r="P16" i="11"/>
  <c r="P25" i="11"/>
  <c r="L13" i="11" l="1"/>
  <c r="M13" i="11"/>
  <c r="N13" i="11"/>
  <c r="O13" i="11"/>
  <c r="P13" i="11"/>
  <c r="Q24" i="11"/>
  <c r="Q18" i="11"/>
  <c r="Q9" i="11"/>
  <c r="Q10" i="11"/>
  <c r="Q7" i="11"/>
  <c r="R5" i="11"/>
  <c r="Q11" i="11"/>
  <c r="Q23" i="11"/>
  <c r="Q12" i="11"/>
  <c r="Q13" i="11"/>
  <c r="Q22" i="11"/>
  <c r="Q17" i="11"/>
  <c r="Q21" i="11"/>
  <c r="Q16" i="11"/>
  <c r="Q25" i="11"/>
  <c r="Q15" i="11"/>
  <c r="R24" i="11" l="1"/>
  <c r="R18" i="11"/>
  <c r="R13" i="11"/>
  <c r="R12" i="11"/>
  <c r="R10" i="11"/>
  <c r="R9" i="11"/>
  <c r="R7" i="11"/>
  <c r="S5" i="11"/>
  <c r="R11" i="11"/>
  <c r="R23" i="11"/>
  <c r="R22" i="11"/>
  <c r="R21" i="11"/>
  <c r="R17" i="11"/>
  <c r="R25" i="11"/>
  <c r="R15" i="11"/>
  <c r="R16" i="11"/>
  <c r="S24" i="11" l="1"/>
  <c r="S18" i="11"/>
  <c r="S13" i="11"/>
  <c r="S10" i="11"/>
  <c r="S9" i="11"/>
  <c r="S7" i="11"/>
  <c r="S4" i="11"/>
  <c r="T5" i="11"/>
  <c r="S11" i="11"/>
  <c r="S12" i="11"/>
  <c r="S23" i="11"/>
  <c r="S22" i="11"/>
  <c r="S21" i="11"/>
  <c r="S17" i="11"/>
  <c r="S15" i="11"/>
  <c r="S16" i="11"/>
  <c r="S25" i="11"/>
  <c r="T18" i="11" l="1"/>
  <c r="T24" i="11"/>
  <c r="T7" i="11"/>
  <c r="U5" i="11"/>
  <c r="T21" i="11"/>
  <c r="T12" i="11"/>
  <c r="T13" i="11"/>
  <c r="T23" i="11"/>
  <c r="T10" i="11"/>
  <c r="T9" i="11"/>
  <c r="T11" i="11"/>
  <c r="T22" i="11"/>
  <c r="T17" i="11"/>
  <c r="T25" i="11"/>
  <c r="T16" i="11"/>
  <c r="T15" i="11"/>
  <c r="U24" i="11" l="1"/>
  <c r="U18" i="11"/>
  <c r="U13" i="11"/>
  <c r="U12" i="11"/>
  <c r="U7" i="11"/>
  <c r="V5" i="11"/>
  <c r="U21" i="11"/>
  <c r="U23" i="11"/>
  <c r="U9" i="11"/>
  <c r="U10" i="11"/>
  <c r="U11" i="11"/>
  <c r="U22" i="11"/>
  <c r="U25" i="11"/>
  <c r="U16" i="11"/>
  <c r="U15" i="11"/>
  <c r="U17" i="11"/>
  <c r="V24" i="11" l="1"/>
  <c r="V18" i="11"/>
  <c r="V13" i="11"/>
  <c r="V12" i="11"/>
  <c r="V7" i="11"/>
  <c r="W5" i="11"/>
  <c r="V23" i="11"/>
  <c r="V9" i="11"/>
  <c r="V22" i="11"/>
  <c r="V11" i="11"/>
  <c r="V10" i="11"/>
  <c r="V21" i="11"/>
  <c r="V15" i="11"/>
  <c r="V17" i="11"/>
  <c r="V25" i="11"/>
  <c r="V16" i="11"/>
  <c r="W24" i="11" l="1"/>
  <c r="W18" i="11"/>
  <c r="W13" i="11"/>
  <c r="W12" i="11"/>
  <c r="W9" i="11"/>
  <c r="W10" i="11"/>
  <c r="W7" i="11"/>
  <c r="X5" i="11"/>
  <c r="W23" i="11"/>
  <c r="W22" i="11"/>
  <c r="W11" i="11"/>
  <c r="W16" i="11"/>
  <c r="W25" i="11"/>
  <c r="W17" i="11"/>
  <c r="W21" i="11"/>
  <c r="W15" i="11"/>
  <c r="X24" i="11" l="1"/>
  <c r="X18" i="11"/>
  <c r="X13" i="11"/>
  <c r="X10" i="11"/>
  <c r="X9" i="11"/>
  <c r="X7" i="11"/>
  <c r="Y5" i="11"/>
  <c r="X23" i="11"/>
  <c r="X12" i="11"/>
  <c r="X22" i="11"/>
  <c r="X11" i="11"/>
  <c r="X15" i="11"/>
  <c r="X25" i="11"/>
  <c r="X21" i="11"/>
  <c r="X17" i="11"/>
  <c r="X16" i="11"/>
  <c r="Y24" i="11" l="1"/>
  <c r="Y18" i="11"/>
  <c r="Y16" i="11"/>
  <c r="Y7" i="11"/>
  <c r="Z5" i="11"/>
  <c r="Y10" i="11"/>
  <c r="Y9" i="11"/>
  <c r="Y23" i="11"/>
  <c r="Y13" i="11"/>
  <c r="Y12" i="11"/>
  <c r="Y11" i="11"/>
  <c r="Y22" i="11"/>
  <c r="Y15" i="11"/>
  <c r="Y21" i="11"/>
  <c r="Y25" i="11"/>
  <c r="Y17" i="11"/>
  <c r="Z24" i="11" l="1"/>
  <c r="Z18" i="11"/>
  <c r="Z16" i="11"/>
  <c r="Z10" i="11"/>
  <c r="Z9" i="11"/>
  <c r="Z4" i="11"/>
  <c r="Z7" i="11"/>
  <c r="AA5" i="11"/>
  <c r="Z23" i="11"/>
  <c r="Z13" i="11"/>
  <c r="Z11" i="11"/>
  <c r="Z12" i="11"/>
  <c r="Z22" i="11"/>
  <c r="Z15" i="11"/>
  <c r="Z17" i="11"/>
  <c r="Z21" i="11"/>
  <c r="Z25" i="11"/>
  <c r="AA24" i="11" l="1"/>
  <c r="AA21" i="11"/>
  <c r="AA18" i="11"/>
  <c r="AA16" i="11"/>
  <c r="AA10" i="11"/>
  <c r="AA9" i="11"/>
  <c r="AA7" i="11"/>
  <c r="AB5" i="11"/>
  <c r="AA11" i="11"/>
  <c r="AA23" i="11"/>
  <c r="AA12" i="11"/>
  <c r="AA13" i="11"/>
  <c r="AA25" i="11"/>
  <c r="AA17" i="11"/>
  <c r="AA15" i="11"/>
  <c r="AA22" i="11"/>
  <c r="AB21" i="11" l="1"/>
  <c r="AB12" i="11"/>
  <c r="AB24" i="11"/>
  <c r="AB13" i="11"/>
  <c r="AB16" i="11"/>
  <c r="AB18" i="11"/>
  <c r="AB7" i="11"/>
  <c r="AC5" i="11"/>
  <c r="AB23" i="11"/>
  <c r="AB11" i="11"/>
  <c r="AB10" i="11"/>
  <c r="AB9" i="11"/>
  <c r="AB17" i="11"/>
  <c r="AB25" i="11"/>
  <c r="AB15" i="11"/>
  <c r="AB22" i="11"/>
  <c r="AC24" i="11" l="1"/>
  <c r="AC21" i="11"/>
  <c r="AC18" i="11"/>
  <c r="AC16" i="11"/>
  <c r="AC13" i="11"/>
  <c r="AC7" i="11"/>
  <c r="AD5" i="11"/>
  <c r="AC12" i="11"/>
  <c r="AC23" i="11"/>
  <c r="AC11" i="11"/>
  <c r="AC9" i="11"/>
  <c r="AC10" i="11"/>
  <c r="AC17" i="11"/>
  <c r="AC25" i="11"/>
  <c r="AC22" i="11"/>
  <c r="AC15" i="11"/>
  <c r="AD24" i="11" l="1"/>
  <c r="AD21" i="11"/>
  <c r="AD18" i="11"/>
  <c r="AD16" i="11"/>
  <c r="AD10" i="11"/>
  <c r="AD9" i="11"/>
  <c r="AD7" i="11"/>
  <c r="AE5" i="11"/>
  <c r="AD13" i="11"/>
  <c r="AD12" i="11"/>
  <c r="AD23" i="11"/>
  <c r="AD17" i="11"/>
  <c r="AD25" i="11"/>
  <c r="AD15" i="11"/>
  <c r="AD22" i="11"/>
  <c r="AD11" i="11"/>
  <c r="AE24" i="11" l="1"/>
  <c r="AE21" i="11"/>
  <c r="AE18" i="11"/>
  <c r="AE16" i="11"/>
  <c r="AE15" i="11"/>
  <c r="AE13" i="11"/>
  <c r="AE12" i="11"/>
  <c r="AE10" i="11"/>
  <c r="AE9" i="11"/>
  <c r="AE7" i="11"/>
  <c r="AF5" i="11"/>
  <c r="AE23" i="11"/>
  <c r="AE22" i="11"/>
  <c r="AE11" i="11"/>
  <c r="AE25" i="11"/>
  <c r="AE17" i="11"/>
  <c r="AF25" i="11" l="1"/>
  <c r="AF24" i="11"/>
  <c r="AF21" i="11"/>
  <c r="AF18" i="11"/>
  <c r="AF16" i="11"/>
  <c r="AF15" i="11"/>
  <c r="AF13" i="11"/>
  <c r="AF10" i="11"/>
  <c r="AF9" i="11"/>
  <c r="AF7" i="11"/>
  <c r="AG5" i="11"/>
  <c r="AF23" i="11"/>
  <c r="AF12" i="11"/>
  <c r="AF17" i="11"/>
  <c r="AF11" i="11"/>
  <c r="AF22" i="11"/>
  <c r="AG25" i="11" l="1"/>
  <c r="AG24" i="11"/>
  <c r="AG21" i="11"/>
  <c r="AG18" i="11"/>
  <c r="AG16" i="11"/>
  <c r="AG15" i="11"/>
  <c r="AG9" i="11"/>
  <c r="AG10" i="11"/>
  <c r="AG7" i="11"/>
  <c r="AG4" i="11"/>
  <c r="AH5" i="11"/>
  <c r="AG23" i="11"/>
  <c r="AG13" i="11"/>
  <c r="AG22" i="11"/>
  <c r="AG17" i="11"/>
  <c r="AG12" i="11"/>
  <c r="AG11" i="11"/>
  <c r="AH25" i="11" l="1"/>
  <c r="AH24" i="11"/>
  <c r="AH21" i="11"/>
  <c r="AH18" i="11"/>
  <c r="AH16" i="11"/>
  <c r="AH15" i="11"/>
  <c r="AH11" i="11"/>
  <c r="AH10" i="11"/>
  <c r="AH9" i="11"/>
  <c r="AH7" i="11"/>
  <c r="AI5" i="11"/>
  <c r="AH23" i="11"/>
  <c r="AH12" i="11"/>
  <c r="AH13" i="11"/>
  <c r="AH17" i="11"/>
  <c r="AH22" i="11"/>
  <c r="AI25" i="11" l="1"/>
  <c r="AI24" i="11"/>
  <c r="AI21" i="11"/>
  <c r="AI18" i="11"/>
  <c r="AI16" i="11"/>
  <c r="AI15" i="11"/>
  <c r="AI13" i="11"/>
  <c r="AI12" i="11"/>
  <c r="AI11" i="11"/>
  <c r="AI10" i="11"/>
  <c r="AI9" i="11"/>
  <c r="AI7" i="11"/>
  <c r="AJ5" i="11"/>
  <c r="AI23" i="11"/>
  <c r="AI22" i="11"/>
  <c r="AI17" i="11"/>
  <c r="AJ11" i="11" l="1"/>
  <c r="AJ12" i="11"/>
  <c r="AJ24" i="11"/>
  <c r="AJ13" i="11"/>
  <c r="AJ18" i="11"/>
  <c r="AJ25" i="11"/>
  <c r="AJ15" i="11"/>
  <c r="AJ9" i="11"/>
  <c r="AJ16" i="11"/>
  <c r="AJ17" i="11"/>
  <c r="AJ21" i="11"/>
  <c r="AJ10" i="11"/>
  <c r="AJ7" i="11"/>
  <c r="AK5" i="11"/>
  <c r="AJ23" i="11"/>
  <c r="AJ22" i="11"/>
  <c r="AK25" i="11" l="1"/>
  <c r="AK24" i="11"/>
  <c r="AK21" i="11"/>
  <c r="AK18" i="11"/>
  <c r="AK17" i="11"/>
  <c r="AK16" i="11"/>
  <c r="AK15" i="11"/>
  <c r="AK13" i="11"/>
  <c r="AK12" i="11"/>
  <c r="AK11" i="11"/>
  <c r="AK10" i="11"/>
  <c r="AK9" i="11"/>
  <c r="AK7" i="11"/>
  <c r="AL5" i="11"/>
  <c r="AK23" i="11"/>
  <c r="AK22" i="11"/>
  <c r="AL25" i="11" l="1"/>
  <c r="AL24" i="11"/>
  <c r="AL21" i="11"/>
  <c r="AL18" i="11"/>
  <c r="AL17" i="11"/>
  <c r="AL16" i="11"/>
  <c r="AL15" i="11"/>
  <c r="AL13" i="11"/>
  <c r="AL12" i="11"/>
  <c r="AL11" i="11"/>
  <c r="AL10" i="11"/>
  <c r="AL9" i="11"/>
  <c r="AL7" i="11"/>
  <c r="AM5" i="11"/>
  <c r="AL23" i="11"/>
  <c r="AL22" i="11"/>
  <c r="AM25" i="11" l="1"/>
  <c r="AM24" i="11"/>
  <c r="AM21" i="11"/>
  <c r="AM18" i="11"/>
  <c r="AM17" i="11"/>
  <c r="AM16" i="11"/>
  <c r="AM15" i="11"/>
  <c r="AM13" i="11"/>
  <c r="AM12" i="11"/>
  <c r="AM11" i="11"/>
  <c r="AM10" i="11"/>
  <c r="AM9" i="11"/>
  <c r="AM7" i="11"/>
  <c r="AN5" i="11"/>
  <c r="AM23" i="11"/>
  <c r="AM22" i="11"/>
  <c r="AN25" i="11" l="1"/>
  <c r="AN24" i="11"/>
  <c r="AN22" i="11"/>
  <c r="AN21" i="11"/>
  <c r="AN18" i="11"/>
  <c r="AN17" i="11"/>
  <c r="AN16" i="11"/>
  <c r="AN15" i="11"/>
  <c r="AN13" i="11"/>
  <c r="AN12" i="11"/>
  <c r="AN11" i="11"/>
  <c r="AN10" i="11"/>
  <c r="AN9" i="11"/>
  <c r="AN4" i="11"/>
  <c r="AN7" i="11"/>
  <c r="AO5" i="11"/>
  <c r="AN23" i="11"/>
  <c r="AO25" i="11" l="1"/>
  <c r="AO24" i="11"/>
  <c r="AO22" i="11"/>
  <c r="AO21" i="11"/>
  <c r="AO18" i="11"/>
  <c r="AO17" i="11"/>
  <c r="AO16" i="11"/>
  <c r="AO15" i="11"/>
  <c r="AO13" i="11"/>
  <c r="AO12" i="11"/>
  <c r="AO11" i="11"/>
  <c r="AO10" i="11"/>
  <c r="AO9" i="11"/>
  <c r="AO7" i="11"/>
  <c r="AP5" i="11"/>
  <c r="AO23" i="11"/>
  <c r="AP25" i="11" l="1"/>
  <c r="AP24" i="11"/>
  <c r="AP22" i="11"/>
  <c r="AP21" i="11"/>
  <c r="AP18" i="11"/>
  <c r="AP17" i="11"/>
  <c r="AP16" i="11"/>
  <c r="AP15" i="11"/>
  <c r="AP13" i="11"/>
  <c r="AP12" i="11"/>
  <c r="AP11" i="11"/>
  <c r="AP10" i="11"/>
  <c r="AP9" i="11"/>
  <c r="AP7" i="11"/>
  <c r="AQ5" i="11"/>
  <c r="AP23" i="11"/>
  <c r="AQ25" i="11" l="1"/>
  <c r="AQ24" i="11"/>
  <c r="AQ22" i="11"/>
  <c r="AQ21" i="11"/>
  <c r="AQ18" i="11"/>
  <c r="AQ17" i="11"/>
  <c r="AQ16" i="11"/>
  <c r="AQ15" i="11"/>
  <c r="AQ13" i="11"/>
  <c r="AQ12" i="11"/>
  <c r="AQ11" i="11"/>
  <c r="AQ10" i="11"/>
  <c r="AQ9" i="11"/>
  <c r="AQ7" i="11"/>
  <c r="AR5" i="11"/>
  <c r="AQ23" i="11"/>
  <c r="AR12" i="11" l="1"/>
  <c r="AR21" i="11"/>
  <c r="AR24" i="11"/>
  <c r="AR13" i="11"/>
  <c r="AR25" i="11"/>
  <c r="AR15" i="11"/>
  <c r="AR16" i="11"/>
  <c r="AR17" i="11"/>
  <c r="AR9" i="11"/>
  <c r="AR18" i="11"/>
  <c r="AR22" i="11"/>
  <c r="AR11" i="11"/>
  <c r="AR10" i="11"/>
  <c r="AR7" i="11"/>
  <c r="AS5" i="11"/>
  <c r="AR23" i="11"/>
  <c r="AS25" i="11" l="1"/>
  <c r="AS24" i="11"/>
  <c r="AS22" i="11"/>
  <c r="AS21" i="11"/>
  <c r="AS18" i="11"/>
  <c r="AS17" i="11"/>
  <c r="AS16" i="11"/>
  <c r="AS15" i="11"/>
  <c r="AS13" i="11"/>
  <c r="AS12" i="11"/>
  <c r="AS11" i="11"/>
  <c r="AS10" i="11"/>
  <c r="AS9" i="11"/>
  <c r="AS7" i="11"/>
  <c r="AT5" i="11"/>
  <c r="AS23" i="11"/>
  <c r="AT25" i="11" l="1"/>
  <c r="AT24" i="11"/>
  <c r="AT22" i="11"/>
  <c r="AT21" i="11"/>
  <c r="AT18" i="11"/>
  <c r="AT17" i="11"/>
  <c r="AT16" i="11"/>
  <c r="AT15" i="11"/>
  <c r="AT13" i="11"/>
  <c r="AT12" i="11"/>
  <c r="AT11" i="11"/>
  <c r="AT10" i="11"/>
  <c r="AT9" i="11"/>
  <c r="AT7" i="11"/>
  <c r="AU5" i="11"/>
  <c r="AT23" i="11"/>
  <c r="AU25" i="11" l="1"/>
  <c r="AU24" i="11"/>
  <c r="AU23" i="11"/>
  <c r="AU22" i="11"/>
  <c r="AU21" i="11"/>
  <c r="AU18" i="11"/>
  <c r="AU17" i="11"/>
  <c r="AU16" i="11"/>
  <c r="AU15" i="11"/>
  <c r="AU13" i="11"/>
  <c r="AU12" i="11"/>
  <c r="AU11" i="11"/>
  <c r="AU10" i="11"/>
  <c r="AU9" i="11"/>
  <c r="AU4" i="11"/>
  <c r="AU7" i="11"/>
  <c r="AV5" i="11"/>
  <c r="AV25" i="11" l="1"/>
  <c r="AV24" i="11"/>
  <c r="AV23" i="11"/>
  <c r="AV22" i="11"/>
  <c r="AV21" i="11"/>
  <c r="AV18" i="11"/>
  <c r="AV17" i="11"/>
  <c r="AV16" i="11"/>
  <c r="AV15" i="11"/>
  <c r="AV13" i="11"/>
  <c r="AV12" i="11"/>
  <c r="AV11" i="11"/>
  <c r="AV10" i="11"/>
  <c r="AV9" i="11"/>
  <c r="AV7" i="11"/>
  <c r="AW5" i="11"/>
  <c r="AW25" i="11" l="1"/>
  <c r="AW24" i="11"/>
  <c r="AW23" i="11"/>
  <c r="AW22" i="11"/>
  <c r="AW21" i="11"/>
  <c r="AW18" i="11"/>
  <c r="AW17" i="11"/>
  <c r="AW16" i="11"/>
  <c r="AW15" i="11"/>
  <c r="AW13" i="11"/>
  <c r="AW12" i="11"/>
  <c r="AW11" i="11"/>
  <c r="AW9" i="11"/>
  <c r="AW10" i="11"/>
  <c r="AW7" i="11"/>
  <c r="AX5" i="11"/>
  <c r="AX25" i="11" l="1"/>
  <c r="AX24" i="11"/>
  <c r="AX23" i="11"/>
  <c r="AX22" i="11"/>
  <c r="AX21" i="11"/>
  <c r="AX18" i="11"/>
  <c r="AX17" i="11"/>
  <c r="AX16" i="11"/>
  <c r="AX15" i="11"/>
  <c r="AX13" i="11"/>
  <c r="AX12" i="11"/>
  <c r="AX11" i="11"/>
  <c r="AX10" i="11"/>
  <c r="AX9" i="11"/>
  <c r="AX7" i="11"/>
  <c r="AY5" i="11"/>
  <c r="AY25" i="11" l="1"/>
  <c r="AY24" i="11"/>
  <c r="AY23" i="11"/>
  <c r="AY22" i="11"/>
  <c r="AY21" i="11"/>
  <c r="AY18" i="11"/>
  <c r="AY17" i="11"/>
  <c r="AY16" i="11"/>
  <c r="AY15" i="11"/>
  <c r="AY13" i="11"/>
  <c r="AY12" i="11"/>
  <c r="AY11" i="11"/>
  <c r="AY10" i="11"/>
  <c r="AY9" i="11"/>
  <c r="AY7" i="11"/>
  <c r="AZ5" i="11"/>
  <c r="AZ24" i="11" l="1"/>
  <c r="AZ13" i="11"/>
  <c r="AZ25" i="11"/>
  <c r="AZ15" i="11"/>
  <c r="AZ16" i="11"/>
  <c r="AZ17" i="11"/>
  <c r="AZ18" i="11"/>
  <c r="AZ22" i="11"/>
  <c r="AZ21" i="11"/>
  <c r="AZ11" i="11"/>
  <c r="AZ23" i="11"/>
  <c r="AZ12" i="11"/>
  <c r="AZ10" i="11"/>
  <c r="AZ9" i="11"/>
  <c r="AZ7" i="11"/>
  <c r="BA5" i="11"/>
  <c r="BA25" i="11" l="1"/>
  <c r="BA24" i="11"/>
  <c r="BA23" i="11"/>
  <c r="BA22" i="11"/>
  <c r="BA21" i="11"/>
  <c r="BA18" i="11"/>
  <c r="BA17" i="11"/>
  <c r="BA16" i="11"/>
  <c r="BA15" i="11"/>
  <c r="BA13" i="11"/>
  <c r="BA12" i="11"/>
  <c r="BA11" i="11"/>
  <c r="BA9" i="11"/>
  <c r="BA10" i="11"/>
  <c r="BA7" i="11"/>
  <c r="BB5" i="11"/>
  <c r="BB25" i="11" l="1"/>
  <c r="BB24" i="11"/>
  <c r="BB23" i="11"/>
  <c r="BB22" i="11"/>
  <c r="BB21" i="11"/>
  <c r="BB18" i="11"/>
  <c r="BB17" i="11"/>
  <c r="BB16" i="11"/>
  <c r="BB15" i="11"/>
  <c r="BB13" i="11"/>
  <c r="BB12" i="11"/>
  <c r="BB11" i="11"/>
  <c r="BB10" i="11"/>
  <c r="BB9" i="11"/>
  <c r="BB4" i="11"/>
  <c r="BB7" i="11"/>
  <c r="BC5" i="11"/>
  <c r="BC25" i="11" l="1"/>
  <c r="BC24" i="11"/>
  <c r="BC23" i="11"/>
  <c r="BC22" i="11"/>
  <c r="BC21" i="11"/>
  <c r="BC18" i="11"/>
  <c r="BC17" i="11"/>
  <c r="BC16" i="11"/>
  <c r="BC15" i="11"/>
  <c r="BC13" i="11"/>
  <c r="BC12" i="11"/>
  <c r="BC11" i="11"/>
  <c r="BC10" i="11"/>
  <c r="BC9" i="11"/>
  <c r="BC7" i="11"/>
  <c r="BD5" i="11"/>
  <c r="BD25" i="11" l="1"/>
  <c r="BD24" i="11"/>
  <c r="BD23" i="11"/>
  <c r="BD22" i="11"/>
  <c r="BD21" i="11"/>
  <c r="BD18" i="11"/>
  <c r="BD17" i="11"/>
  <c r="BD16" i="11"/>
  <c r="BD15" i="11"/>
  <c r="BD13" i="11"/>
  <c r="BD12" i="11"/>
  <c r="BD11" i="11"/>
  <c r="BD10" i="11"/>
  <c r="BD9" i="11"/>
  <c r="BD7" i="11"/>
  <c r="BE5" i="11"/>
  <c r="BE25" i="11" l="1"/>
  <c r="BE24" i="11"/>
  <c r="BE23" i="11"/>
  <c r="BE22" i="11"/>
  <c r="BE21" i="11"/>
  <c r="BE18" i="11"/>
  <c r="BE17" i="11"/>
  <c r="BE16" i="11"/>
  <c r="BE15" i="11"/>
  <c r="BE13" i="11"/>
  <c r="BE12" i="11"/>
  <c r="BE11" i="11"/>
  <c r="BE10" i="11"/>
  <c r="BE9" i="11"/>
  <c r="BE7" i="11"/>
  <c r="BF5" i="11"/>
  <c r="BF25" i="11" l="1"/>
  <c r="BF24" i="11"/>
  <c r="BF23" i="11"/>
  <c r="BF22" i="11"/>
  <c r="BF21" i="11"/>
  <c r="BF18" i="11"/>
  <c r="BF17" i="11"/>
  <c r="BF16" i="11"/>
  <c r="BF15" i="11"/>
  <c r="BF13" i="11"/>
  <c r="BF12" i="11"/>
  <c r="BF11" i="11"/>
  <c r="BF10" i="11"/>
  <c r="BF9" i="11"/>
  <c r="BF7" i="11"/>
  <c r="BG5" i="11"/>
  <c r="BG25" i="11" l="1"/>
  <c r="BG24" i="11"/>
  <c r="BG23" i="11"/>
  <c r="BG22" i="11"/>
  <c r="BG21" i="11"/>
  <c r="BG18" i="11"/>
  <c r="BG17" i="11"/>
  <c r="BG16" i="11"/>
  <c r="BG15" i="11"/>
  <c r="BG13" i="11"/>
  <c r="BG12" i="11"/>
  <c r="BG11" i="11"/>
  <c r="BG10" i="11"/>
  <c r="BG9" i="11"/>
  <c r="BG7" i="11"/>
  <c r="BH5" i="11"/>
  <c r="BH25" i="11" l="1"/>
  <c r="BH15" i="11"/>
  <c r="BH16" i="11"/>
  <c r="BH12" i="11"/>
  <c r="BH17" i="11"/>
  <c r="BH18" i="11"/>
  <c r="BH23" i="11"/>
  <c r="BH21" i="11"/>
  <c r="BH22" i="11"/>
  <c r="BH11" i="11"/>
  <c r="BH24" i="11"/>
  <c r="BH13" i="11"/>
  <c r="BH10" i="11"/>
  <c r="BH9" i="11"/>
  <c r="BH7" i="11"/>
  <c r="BI5" i="11"/>
  <c r="BI25" i="11" l="1"/>
  <c r="BI24" i="11"/>
  <c r="BI23" i="11"/>
  <c r="BI22" i="11"/>
  <c r="BI21" i="11"/>
  <c r="BI18" i="11"/>
  <c r="BI17" i="11"/>
  <c r="BI16" i="11"/>
  <c r="BI15" i="11"/>
  <c r="BI13" i="11"/>
  <c r="BI12" i="11"/>
  <c r="BI11" i="11"/>
  <c r="BI10" i="11"/>
  <c r="BI9" i="11"/>
  <c r="BI4" i="11"/>
  <c r="BI7" i="11"/>
  <c r="BJ5" i="11"/>
  <c r="BJ25" i="11" l="1"/>
  <c r="BJ24" i="11"/>
  <c r="BJ23" i="11"/>
  <c r="BJ22" i="11"/>
  <c r="BJ21" i="11"/>
  <c r="BJ18" i="11"/>
  <c r="BJ17" i="11"/>
  <c r="BJ16" i="11"/>
  <c r="BJ15" i="11"/>
  <c r="BJ13" i="11"/>
  <c r="BJ12" i="11"/>
  <c r="BJ11" i="11"/>
  <c r="BJ10" i="11"/>
  <c r="BJ9" i="11"/>
  <c r="BJ7" i="11"/>
  <c r="BK5" i="11"/>
  <c r="BK25" i="11" l="1"/>
  <c r="BK24" i="11"/>
  <c r="BK23" i="11"/>
  <c r="BK22" i="11"/>
  <c r="BK21" i="11"/>
  <c r="BK18" i="11"/>
  <c r="BK17" i="11"/>
  <c r="BK16" i="11"/>
  <c r="BK15" i="11"/>
  <c r="BK13" i="11"/>
  <c r="BK12" i="11"/>
  <c r="BK11" i="11"/>
  <c r="BK10" i="11"/>
  <c r="BK9" i="11"/>
  <c r="BK7" i="11"/>
  <c r="BL5" i="11"/>
  <c r="BL25" i="11" l="1"/>
  <c r="BL24" i="11"/>
  <c r="BL23" i="11"/>
  <c r="BL22" i="11"/>
  <c r="BL21" i="11"/>
  <c r="BL18" i="11"/>
  <c r="BL17" i="11"/>
  <c r="BL16" i="11"/>
  <c r="BL15" i="11"/>
  <c r="BL13" i="11"/>
  <c r="BL12" i="11"/>
  <c r="BL11" i="11"/>
  <c r="BL10" i="11"/>
  <c r="BL9" i="11"/>
  <c r="BL7" i="11"/>
  <c r="BM5" i="11"/>
  <c r="BM25" i="11" l="1"/>
  <c r="BM24" i="11"/>
  <c r="BM23" i="11"/>
  <c r="BM22" i="11"/>
  <c r="BM21" i="11"/>
  <c r="BM18" i="11"/>
  <c r="BM17" i="11"/>
  <c r="BM16" i="11"/>
  <c r="BM15" i="11"/>
  <c r="BM13" i="11"/>
  <c r="BM12" i="11"/>
  <c r="BM11" i="11"/>
  <c r="BM9" i="11"/>
  <c r="BM10" i="11"/>
  <c r="BN5" i="11"/>
  <c r="BM7" i="11"/>
  <c r="BN25" i="11" l="1"/>
  <c r="BN24" i="11"/>
  <c r="BN23" i="11"/>
  <c r="BN22" i="11"/>
  <c r="BN21" i="11"/>
  <c r="BN18" i="11"/>
  <c r="BN17" i="11"/>
  <c r="BN16" i="11"/>
  <c r="BN15" i="11"/>
  <c r="BN13" i="11"/>
  <c r="BN12" i="11"/>
  <c r="BN11" i="11"/>
  <c r="BN10" i="11"/>
  <c r="BN9" i="11"/>
  <c r="BN7" i="11"/>
  <c r="BO5" i="11"/>
  <c r="BO25" i="11" l="1"/>
  <c r="BO24" i="11"/>
  <c r="BO23" i="11"/>
  <c r="BO22" i="11"/>
  <c r="BO21" i="11"/>
  <c r="BO18" i="11"/>
  <c r="BO17" i="11"/>
  <c r="BO16" i="11"/>
  <c r="BO15" i="11"/>
  <c r="BO13" i="11"/>
  <c r="BO12" i="11"/>
  <c r="BO11" i="11"/>
  <c r="BO10" i="11"/>
  <c r="BO9" i="11"/>
  <c r="BO7" i="11"/>
</calcChain>
</file>

<file path=xl/sharedStrings.xml><?xml version="1.0" encoding="utf-8"?>
<sst xmlns="http://schemas.openxmlformats.org/spreadsheetml/2006/main" count="111" uniqueCount="72">
  <si>
    <t>このワークシートでガント チャートを作成します。
セル B1 には、このプロジェクトのタイトルを入力します。
凡例タイトルはセル I1 にあります。
このワークシートの使用方法に関する情報 (スクリーン リーダーの説明やブックの作成者など) は、"詳細情報" ワークシートに入ります。
列 A を下方に移動し続けると、さらに多くの情報を確認できます。</t>
  </si>
  <si>
    <t>セル B2 には会社の名前を入力します。
凡例は、セル I2 から AC2 にあります。</t>
  </si>
  <si>
    <t>セル B3 に、プロジェクト主任の名前を入力します。セル F3 に、プロジェクトの開始日を入力するか、サンプルの数式を使用してガント データ テーブルから最も早い日付の値を見つけます。
プロジェクトの開始日: ラベルはセル D3 に入ります。</t>
  </si>
  <si>
    <t>スクロールの増分はセル F4 に入ります。
行 5 の日付に対応する月が、セル I4 からセル BL4 に表示されます。
これらのセルは変更しないでください。これらは、セル F3 のプロジェクトの開始日に基づいて自動的に更新されます。</t>
  </si>
  <si>
    <t>セル I5 から BL5 には、各日付のセルの上にあるセル ブロック内に表示される月に対応するその月の日付の数字が含まれており、自動的に計算が行われます。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</si>
  <si>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スクロール バーはセル I6 から BL6 までに入ります。データのページングの増分は、一度に 2 ページとして定義されており、コントロール バーの設定で構成することができます。
タイムラインの前後にジャンプするには、セル F4 に 0 以上の値を入力します。
値 0 は、グラフの先頭に移動します。</t>
  </si>
  <si>
    <t>この行には、その下に続くプロジェクトのスケジュールの見出しが含まれています。
コンテンツを読み上げるには、B7 から BL7 に移動します。その見出しの上にある日付の各曜日の最初の文字が、セル I7 から始まってセル BL7 まで続いています。
すべてのプロジェクトのタイムライン グラフは、マイルストーンの表に入力されたカテゴリ、開始日、日数を基にして自動的に生成されます。</t>
  </si>
  <si>
    <t>セル B9 からセル G9 に、プロジェクト情報を入力します。
サンプル データは、セル B9 からセル G33 に格納されています。
グラフの作成を開始するには、マイルストーンの説明を入力し、ドロップダウン リストからカテゴリを選択し、アイテムにユーザーを割り当ててから、タスクの進捗状況、開始日、および日数を入力します。
次の指示はセル A34 にあります。</t>
  </si>
  <si>
    <t>これは空の行です</t>
  </si>
  <si>
    <t>この行は、ガント マイルストーン データの末尾をマークします。この行には何も入力しないでください。
さらにアイテムを追加するには、この行の上に新しい行を挿入します。</t>
  </si>
  <si>
    <t>プロジェクト タイトル</t>
  </si>
  <si>
    <t>会社名</t>
  </si>
  <si>
    <t>プロジェクト主任</t>
  </si>
  <si>
    <t>マイルストーンの説明</t>
  </si>
  <si>
    <t>タイトル 1</t>
  </si>
  <si>
    <t>タスク 1</t>
  </si>
  <si>
    <t>タスク 2</t>
  </si>
  <si>
    <t>タスク 3</t>
  </si>
  <si>
    <t>タスク 4</t>
  </si>
  <si>
    <t>タスク 5</t>
  </si>
  <si>
    <t>タイトル 2</t>
  </si>
  <si>
    <t>タイトル 3</t>
  </si>
  <si>
    <t>タイトル 4</t>
  </si>
  <si>
    <t>さらにデータを追加するには、この行の上に新しい行を挿入します。</t>
  </si>
  <si>
    <t>カテゴリ</t>
  </si>
  <si>
    <t>低リスク</t>
  </si>
  <si>
    <t>中リスク</t>
  </si>
  <si>
    <t>高リスク</t>
  </si>
  <si>
    <t>順調</t>
  </si>
  <si>
    <t>プロジェクトの開始日:</t>
  </si>
  <si>
    <t>担当者</t>
  </si>
  <si>
    <t>凡例:</t>
  </si>
  <si>
    <t>進捗率
[%]</t>
    <rPh sb="2" eb="3">
      <t>リツ</t>
    </rPh>
    <phoneticPr fontId="21"/>
  </si>
  <si>
    <t>開始日</t>
    <rPh sb="2" eb="3">
      <t>ヒ</t>
    </rPh>
    <phoneticPr fontId="21"/>
  </si>
  <si>
    <t>終了日</t>
    <rPh sb="0" eb="3">
      <t>シュウリョウビ</t>
    </rPh>
    <phoneticPr fontId="21"/>
  </si>
  <si>
    <t xml:space="preserve">元日 </t>
  </si>
  <si>
    <t xml:space="preserve">成人の日 </t>
  </si>
  <si>
    <t xml:space="preserve">建国記念の日 </t>
  </si>
  <si>
    <t xml:space="preserve">天皇誕生日 </t>
  </si>
  <si>
    <t xml:space="preserve">休日 </t>
  </si>
  <si>
    <t>天皇誕生日の振り替え休日</t>
    <phoneticPr fontId="35"/>
  </si>
  <si>
    <t xml:space="preserve">春分の日 </t>
  </si>
  <si>
    <t xml:space="preserve">昭和の日 </t>
  </si>
  <si>
    <t xml:space="preserve">憲法記念日 </t>
  </si>
  <si>
    <t xml:space="preserve">みどりの日 </t>
  </si>
  <si>
    <t xml:space="preserve">こどもの日 </t>
  </si>
  <si>
    <t>憲法記念日の振り替え休日</t>
  </si>
  <si>
    <t xml:space="preserve">海の日 </t>
  </si>
  <si>
    <t>2020年に限り移動</t>
  </si>
  <si>
    <t xml:space="preserve">スポーツの日 </t>
  </si>
  <si>
    <t xml:space="preserve">山の日 </t>
  </si>
  <si>
    <t xml:space="preserve">敬老の日 </t>
  </si>
  <si>
    <t xml:space="preserve">秋分の日 </t>
  </si>
  <si>
    <t xml:space="preserve">文化の日 </t>
  </si>
  <si>
    <t xml:space="preserve">勤労感謝の日 </t>
  </si>
  <si>
    <t>マイルストーン</t>
    <phoneticPr fontId="21"/>
  </si>
  <si>
    <t>時間数 per day [h]:</t>
    <phoneticPr fontId="21"/>
  </si>
  <si>
    <t>1月第2月曜日</t>
    <phoneticPr fontId="35"/>
  </si>
  <si>
    <t>9月第3月曜日</t>
    <phoneticPr fontId="35"/>
  </si>
  <si>
    <t>説明1</t>
    <rPh sb="0" eb="2">
      <t>セツメイ</t>
    </rPh>
    <phoneticPr fontId="21"/>
  </si>
  <si>
    <t>説明2</t>
    <rPh sb="0" eb="2">
      <t>セツメイ</t>
    </rPh>
    <phoneticPr fontId="21"/>
  </si>
  <si>
    <t>横スクロールの量 [cells]:</t>
    <rPh sb="0" eb="1">
      <t>ヨコ</t>
    </rPh>
    <rPh sb="7" eb="8">
      <t>リョウ</t>
    </rPh>
    <phoneticPr fontId="21"/>
  </si>
  <si>
    <t>予定工数
[h]</t>
    <rPh sb="0" eb="2">
      <t>ヨテイ</t>
    </rPh>
    <rPh sb="2" eb="4">
      <t>コウスウ</t>
    </rPh>
    <phoneticPr fontId="21"/>
  </si>
  <si>
    <t>実績工数
[h]</t>
    <rPh sb="0" eb="2">
      <t>ジッセキ</t>
    </rPh>
    <rPh sb="2" eb="4">
      <t>コウスウ</t>
    </rPh>
    <phoneticPr fontId="21"/>
  </si>
  <si>
    <t>Done</t>
    <phoneticPr fontId="21"/>
  </si>
  <si>
    <t>休日定義
セル位置</t>
    <rPh sb="0" eb="2">
      <t>キュウジツ</t>
    </rPh>
    <rPh sb="2" eb="4">
      <t>テイギ</t>
    </rPh>
    <rPh sb="7" eb="9">
      <t>イチ</t>
    </rPh>
    <phoneticPr fontId="21"/>
  </si>
  <si>
    <t>▲</t>
    <phoneticPr fontId="21"/>
  </si>
  <si>
    <t>時間 [h]</t>
    <rPh sb="0" eb="2">
      <t>ジカン</t>
    </rPh>
    <phoneticPr fontId="21"/>
  </si>
  <si>
    <t>a</t>
  </si>
  <si>
    <t>b</t>
  </si>
  <si>
    <t>c</t>
  </si>
  <si>
    <t>マイルストーン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</si>
</sst>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2" formatCode="_ &quot;¥&quot;* #,##0_ ;_ &quot;¥&quot;* \-#,##0_ ;_ &quot;¥&quot;* &quot;-&quot;_ ;_ @_ "/>
    <numFmt numFmtId="44" formatCode="_ &quot;¥&quot;* #,##0.00_ ;_ &quot;¥&quot;* \-#,##0.00_ ;_ &quot;¥&quot;* &quot;-&quot;??_ ;_ @_ "/>
    <numFmt numFmtId="176" formatCode="_(* #,##0.00_);_(* \(#,##0.00\);_(* &quot;-&quot;??_);_(@_)"/>
    <numFmt numFmtId="177" formatCode="d"/>
    <numFmt numFmtId="178" formatCode="yyyy/mm/dd\ \(aaa\)"/>
    <numFmt numFmtId="179" formatCode="yyyy/mm/dd\(aaa\)"/>
    <numFmt numFmtId="180" formatCode="yyyy/mm/dd\ \(aaa\)\ hh:mm:ss"/>
    <numFmt numFmtId="181" formatCode="0.00_ "/>
    <numFmt numFmtId="182" formatCode="0\ \ \ "/>
  </numFmts>
  <fonts count="39" x14ac:knownFonts="1">
    <font>
      <sz val="11"/>
      <color theme="1"/>
      <name val="Meiryo UI"/>
      <family val="2"/>
      <charset val="128"/>
    </font>
    <font>
      <sz val="10"/>
      <color theme="1"/>
      <name val="ＭＳ ゴシック"/>
      <family val="2"/>
      <charset val="128"/>
    </font>
    <font>
      <sz val="11"/>
      <color theme="1"/>
      <name val="ＭＳ Ｐゴシック"/>
      <family val="2"/>
      <charset val="128"/>
    </font>
    <font>
      <sz val="11"/>
      <color theme="1"/>
      <name val="Meiryo UI"/>
      <family val="2"/>
      <charset val="128"/>
    </font>
    <font>
      <sz val="11"/>
      <color theme="0"/>
      <name val="Meiryo UI"/>
      <family val="2"/>
      <charset val="128"/>
    </font>
    <font>
      <sz val="11"/>
      <color rgb="FF006100"/>
      <name val="Meiryo UI"/>
      <family val="2"/>
      <charset val="128"/>
    </font>
    <font>
      <sz val="11"/>
      <color rgb="FF9C0006"/>
      <name val="Meiryo UI"/>
      <family val="2"/>
      <charset val="128"/>
    </font>
    <font>
      <b/>
      <sz val="22"/>
      <color theme="1" tint="0.34998626667073579"/>
      <name val="Meiryo UI"/>
      <family val="2"/>
      <charset val="128"/>
    </font>
    <font>
      <sz val="14"/>
      <color theme="1"/>
      <name val="Meiryo UI"/>
      <family val="2"/>
      <charset val="128"/>
    </font>
    <font>
      <b/>
      <sz val="11"/>
      <color theme="3"/>
      <name val="Meiryo UI"/>
      <family val="2"/>
      <charset val="128"/>
    </font>
    <font>
      <b/>
      <sz val="11"/>
      <color theme="0"/>
      <name val="Meiryo UI"/>
      <family val="2"/>
      <charset val="128"/>
    </font>
    <font>
      <b/>
      <sz val="11"/>
      <color theme="1"/>
      <name val="Meiryo UI"/>
      <family val="2"/>
      <charset val="128"/>
    </font>
    <font>
      <i/>
      <sz val="11"/>
      <color rgb="FF7F7F7F"/>
      <name val="Meiryo UI"/>
      <family val="2"/>
      <charset val="128"/>
    </font>
    <font>
      <sz val="11"/>
      <color rgb="FFFF0000"/>
      <name val="Meiryo UI"/>
      <family val="2"/>
      <charset val="128"/>
    </font>
    <font>
      <b/>
      <sz val="11"/>
      <color rgb="FFFA7D00"/>
      <name val="Meiryo UI"/>
      <family val="2"/>
      <charset val="128"/>
    </font>
    <font>
      <u/>
      <sz val="11"/>
      <color indexed="12"/>
      <name val="Meiryo UI"/>
      <family val="2"/>
      <charset val="128"/>
    </font>
    <font>
      <sz val="11"/>
      <color rgb="FF3F3F76"/>
      <name val="Meiryo UI"/>
      <family val="2"/>
      <charset val="128"/>
    </font>
    <font>
      <b/>
      <sz val="11"/>
      <color rgb="FF3F3F3F"/>
      <name val="Meiryo UI"/>
      <family val="2"/>
      <charset val="128"/>
    </font>
    <font>
      <sz val="11"/>
      <color rgb="FF9C5700"/>
      <name val="Meiryo UI"/>
      <family val="2"/>
      <charset val="128"/>
    </font>
    <font>
      <sz val="11"/>
      <color rgb="FFFA7D00"/>
      <name val="Meiryo UI"/>
      <family val="2"/>
      <charset val="128"/>
    </font>
    <font>
      <sz val="11"/>
      <color theme="0"/>
      <name val="Meiryo UI"/>
      <family val="2"/>
    </font>
    <font>
      <sz val="6"/>
      <name val="Meiryo UI"/>
      <family val="2"/>
      <charset val="128"/>
    </font>
    <font>
      <sz val="10"/>
      <name val="Meiryo UI"/>
      <family val="3"/>
      <charset val="128"/>
    </font>
    <font>
      <sz val="11"/>
      <color theme="1"/>
      <name val="Meiryo UI"/>
      <family val="3"/>
      <charset val="128"/>
    </font>
    <font>
      <sz val="11"/>
      <name val="Meiryo UI"/>
      <family val="3"/>
      <charset val="128"/>
    </font>
    <font>
      <b/>
      <sz val="22"/>
      <color theme="1" tint="0.34998626667073579"/>
      <name val="Meiryo UI"/>
      <family val="3"/>
      <charset val="128"/>
    </font>
    <font>
      <b/>
      <sz val="20"/>
      <color theme="4" tint="-0.249977111117893"/>
      <name val="Meiryo UI"/>
      <family val="3"/>
      <charset val="128"/>
    </font>
    <font>
      <sz val="14"/>
      <color theme="1"/>
      <name val="Meiryo UI"/>
      <family val="3"/>
      <charset val="128"/>
    </font>
    <font>
      <b/>
      <sz val="14"/>
      <color theme="0"/>
      <name val="Meiryo UI"/>
      <family val="3"/>
      <charset val="128"/>
    </font>
    <font>
      <b/>
      <sz val="14"/>
      <name val="Meiryo UI"/>
      <family val="3"/>
      <charset val="128"/>
    </font>
    <font>
      <sz val="16"/>
      <color theme="1"/>
      <name val="Meiryo UI"/>
      <family val="3"/>
      <charset val="128"/>
    </font>
    <font>
      <sz val="10"/>
      <color theme="0"/>
      <name val="Meiryo UI"/>
      <family val="3"/>
      <charset val="128"/>
    </font>
    <font>
      <b/>
      <sz val="10"/>
      <color theme="0"/>
      <name val="Meiryo UI"/>
      <family val="3"/>
      <charset val="128"/>
    </font>
    <font>
      <sz val="11"/>
      <color theme="0"/>
      <name val="Meiryo UI"/>
      <family val="3"/>
      <charset val="128"/>
    </font>
    <font>
      <sz val="11"/>
      <color theme="3" tint="-0.24994659260841701"/>
      <name val="Meiryo UI"/>
      <family val="3"/>
      <charset val="128"/>
    </font>
    <font>
      <sz val="6"/>
      <name val="ＭＳ Ｐゴシック"/>
      <family val="2"/>
      <charset val="128"/>
    </font>
    <font>
      <sz val="14"/>
      <name val="Meiryo UI"/>
      <family val="3"/>
      <charset val="128"/>
    </font>
    <font>
      <b/>
      <sz val="11"/>
      <color theme="3" tint="-0.24994659260841701"/>
      <name val="Meiryo UI"/>
      <family val="3"/>
      <charset val="128"/>
    </font>
    <font>
      <sz val="8"/>
      <color theme="1"/>
      <name val="Meiryo UI"/>
      <family val="3"/>
      <charset val="128"/>
    </font>
  </fonts>
  <fills count="41">
    <fill>
      <patternFill patternType="none"/>
    </fill>
    <fill>
      <patternFill patternType="gray125"/>
    </fill>
    <fill>
      <patternFill patternType="solid">
        <fgColor theme="0" tint="-4.9989318521683403E-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4"/>
        <bgColor indexed="64"/>
      </patternFill>
    </fill>
    <fill>
      <patternFill patternType="solid">
        <fgColor theme="6"/>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BFBFBF"/>
        <bgColor indexed="64"/>
      </patternFill>
    </fill>
  </fills>
  <borders count="19">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thin">
        <color theme="0" tint="-0.14993743705557422"/>
      </left>
      <right style="thin">
        <color theme="0" tint="-0.14993743705557422"/>
      </right>
      <top/>
      <bottom style="medium">
        <color theme="0" tint="-0.149967955565050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14993743705557422"/>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6" tint="0.39994506668294322"/>
      </top>
      <bottom/>
      <diagonal/>
    </border>
    <border>
      <left/>
      <right style="thin">
        <color theme="6" tint="0.39991454817346722"/>
      </right>
      <top style="thin">
        <color theme="6" tint="0.39994506668294322"/>
      </top>
      <bottom/>
      <diagonal/>
    </border>
    <border>
      <left/>
      <right style="thin">
        <color theme="6" tint="0.39991454817346722"/>
      </right>
      <top style="thin">
        <color theme="6" tint="0.39994506668294322"/>
      </top>
      <bottom style="thin">
        <color theme="6" tint="0.39991454817346722"/>
      </bottom>
      <diagonal/>
    </border>
    <border>
      <left/>
      <right/>
      <top style="thin">
        <color theme="6" tint="0.39994506668294322"/>
      </top>
      <bottom style="thin">
        <color theme="6" tint="0.39991454817346722"/>
      </bottom>
      <diagonal/>
    </border>
  </borders>
  <cellStyleXfs count="53">
    <xf numFmtId="0" fontId="0" fillId="0" borderId="0"/>
    <xf numFmtId="0" fontId="15" fillId="0" borderId="0" applyNumberFormat="0" applyFill="0" applyBorder="0" applyAlignment="0" applyProtection="0">
      <alignment vertical="top"/>
      <protection locked="0"/>
    </xf>
    <xf numFmtId="9" fontId="3" fillId="0" borderId="0" applyFont="0" applyFill="0" applyBorder="0" applyProtection="0">
      <alignment horizontal="center" vertical="center"/>
    </xf>
    <xf numFmtId="0" fontId="4" fillId="0" borderId="0"/>
    <xf numFmtId="176" fontId="3" fillId="0" borderId="1" applyFont="0" applyFill="0" applyAlignment="0" applyProtection="0"/>
    <xf numFmtId="0" fontId="7" fillId="0" borderId="0" applyNumberFormat="0" applyFill="0" applyBorder="0" applyAlignment="0" applyProtection="0"/>
    <xf numFmtId="0" fontId="8" fillId="0" borderId="0" applyNumberFormat="0" applyFill="0" applyAlignment="0" applyProtection="0"/>
    <xf numFmtId="0" fontId="8" fillId="0" borderId="0" applyNumberFormat="0" applyFill="0" applyProtection="0">
      <alignment vertical="top"/>
    </xf>
    <xf numFmtId="0" fontId="3" fillId="0" borderId="0" applyNumberFormat="0" applyFill="0" applyProtection="0">
      <alignment horizontal="right" vertical="center" indent="1"/>
    </xf>
    <xf numFmtId="14" fontId="3" fillId="0" borderId="0" applyFont="0" applyFill="0" applyBorder="0">
      <alignment horizontal="center" vertical="center"/>
    </xf>
    <xf numFmtId="37" fontId="3" fillId="0" borderId="0" applyFont="0" applyFill="0" applyBorder="0" applyProtection="0">
      <alignment horizontal="center" vertical="center"/>
    </xf>
    <xf numFmtId="44" fontId="3" fillId="0" borderId="0" applyFont="0" applyFill="0" applyBorder="0" applyAlignment="0" applyProtection="0"/>
    <xf numFmtId="42" fontId="3" fillId="0" borderId="0" applyFont="0" applyFill="0" applyBorder="0" applyAlignment="0" applyProtection="0"/>
    <xf numFmtId="0" fontId="9" fillId="0" borderId="0" applyNumberFormat="0" applyFill="0" applyBorder="0" applyAlignment="0" applyProtection="0"/>
    <xf numFmtId="0" fontId="5" fillId="9" borderId="0" applyNumberFormat="0" applyBorder="0" applyAlignment="0" applyProtection="0"/>
    <xf numFmtId="0" fontId="6" fillId="10" borderId="0" applyNumberFormat="0" applyBorder="0" applyAlignment="0" applyProtection="0"/>
    <xf numFmtId="0" fontId="18" fillId="11" borderId="0" applyNumberFormat="0" applyBorder="0" applyAlignment="0" applyProtection="0"/>
    <xf numFmtId="0" fontId="16" fillId="12" borderId="9" applyNumberFormat="0" applyAlignment="0" applyProtection="0"/>
    <xf numFmtId="0" fontId="17" fillId="13" borderId="10" applyNumberFormat="0" applyAlignment="0" applyProtection="0"/>
    <xf numFmtId="0" fontId="14" fillId="13" borderId="9" applyNumberFormat="0" applyAlignment="0" applyProtection="0"/>
    <xf numFmtId="0" fontId="19" fillId="0" borderId="11" applyNumberFormat="0" applyFill="0" applyAlignment="0" applyProtection="0"/>
    <xf numFmtId="0" fontId="10" fillId="14" borderId="12" applyNumberFormat="0" applyAlignment="0" applyProtection="0"/>
    <xf numFmtId="0" fontId="13" fillId="0" borderId="0" applyNumberFormat="0" applyFill="0" applyBorder="0" applyAlignment="0" applyProtection="0"/>
    <xf numFmtId="0" fontId="3" fillId="15" borderId="13" applyNumberFormat="0" applyFont="0" applyAlignment="0" applyProtection="0"/>
    <xf numFmtId="0" fontId="12" fillId="0" borderId="0" applyNumberFormat="0" applyFill="0" applyBorder="0" applyAlignment="0" applyProtection="0"/>
    <xf numFmtId="0" fontId="11" fillId="0" borderId="14" applyNumberFormat="0" applyFill="0" applyAlignment="0" applyProtection="0"/>
    <xf numFmtId="0" fontId="4"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4" fillId="20" borderId="0" applyNumberFormat="0" applyBorder="0" applyAlignment="0" applyProtection="0"/>
    <xf numFmtId="0" fontId="3"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4" fillId="24" borderId="0" applyNumberFormat="0" applyBorder="0" applyAlignment="0" applyProtection="0"/>
    <xf numFmtId="0" fontId="3"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4" fillId="28" borderId="0" applyNumberFormat="0" applyBorder="0" applyAlignment="0" applyProtection="0"/>
    <xf numFmtId="0" fontId="3"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4" fillId="32" borderId="0" applyNumberFormat="0" applyBorder="0" applyAlignment="0" applyProtection="0"/>
    <xf numFmtId="0" fontId="3" fillId="33" borderId="0" applyNumberFormat="0" applyBorder="0" applyAlignment="0" applyProtection="0"/>
    <xf numFmtId="0" fontId="3" fillId="34" borderId="0" applyNumberFormat="0" applyBorder="0" applyAlignment="0" applyProtection="0"/>
    <xf numFmtId="0" fontId="3" fillId="35" borderId="0" applyNumberFormat="0" applyBorder="0" applyAlignment="0" applyProtection="0"/>
    <xf numFmtId="0" fontId="4" fillId="36" borderId="0" applyNumberFormat="0" applyBorder="0" applyAlignment="0" applyProtection="0"/>
    <xf numFmtId="0" fontId="3" fillId="37" borderId="0" applyNumberFormat="0" applyBorder="0" applyAlignment="0" applyProtection="0"/>
    <xf numFmtId="0" fontId="3" fillId="38" borderId="0" applyNumberFormat="0" applyBorder="0" applyAlignment="0" applyProtection="0"/>
    <xf numFmtId="0" fontId="3" fillId="39" borderId="0" applyNumberFormat="0" applyBorder="0" applyAlignment="0" applyProtection="0"/>
    <xf numFmtId="0" fontId="2" fillId="0" borderId="0">
      <alignment vertical="center"/>
    </xf>
    <xf numFmtId="0" fontId="3" fillId="0" borderId="0"/>
    <xf numFmtId="0" fontId="1" fillId="0" borderId="0">
      <alignment vertical="center"/>
    </xf>
  </cellStyleXfs>
  <cellXfs count="80">
    <xf numFmtId="0" fontId="0" fillId="0" borderId="0" xfId="0"/>
    <xf numFmtId="0" fontId="22" fillId="0" borderId="0" xfId="0" applyFont="1"/>
    <xf numFmtId="0" fontId="20" fillId="0" borderId="0" xfId="3" applyFont="1" applyAlignment="1">
      <alignment wrapText="1"/>
    </xf>
    <xf numFmtId="0" fontId="25" fillId="0" borderId="0" xfId="5" applyFont="1" applyAlignment="1">
      <alignment horizontal="left"/>
    </xf>
    <xf numFmtId="0" fontId="26" fillId="0" borderId="0" xfId="0" applyFont="1" applyAlignment="1">
      <alignment horizontal="left"/>
    </xf>
    <xf numFmtId="0" fontId="23" fillId="0" borderId="0" xfId="0" applyFont="1"/>
    <xf numFmtId="0" fontId="27" fillId="0" borderId="0" xfId="7" applyFont="1" applyAlignment="1"/>
    <xf numFmtId="0" fontId="27" fillId="0" borderId="0" xfId="6" applyFont="1" applyAlignment="1"/>
    <xf numFmtId="0" fontId="27" fillId="0" borderId="0" xfId="6" applyFont="1"/>
    <xf numFmtId="0" fontId="27" fillId="0" borderId="0" xfId="7" applyFont="1" applyAlignment="1">
      <alignment vertical="top"/>
    </xf>
    <xf numFmtId="0" fontId="27" fillId="0" borderId="0" xfId="7" applyFont="1">
      <alignment vertical="top"/>
    </xf>
    <xf numFmtId="0" fontId="23" fillId="0" borderId="0" xfId="0" applyFont="1" applyAlignment="1"/>
    <xf numFmtId="0" fontId="30" fillId="0" borderId="0" xfId="0" applyFont="1"/>
    <xf numFmtId="177" fontId="31" fillId="3" borderId="2" xfId="0" applyNumberFormat="1" applyFont="1" applyFill="1" applyBorder="1" applyAlignment="1">
      <alignment horizontal="center" vertical="center"/>
    </xf>
    <xf numFmtId="177" fontId="31" fillId="3" borderId="0" xfId="0" applyNumberFormat="1" applyFont="1" applyFill="1" applyBorder="1" applyAlignment="1">
      <alignment horizontal="center" vertical="center"/>
    </xf>
    <xf numFmtId="177" fontId="31" fillId="3" borderId="3" xfId="0" applyNumberFormat="1" applyFont="1" applyFill="1" applyBorder="1" applyAlignment="1">
      <alignment horizontal="center" vertical="center"/>
    </xf>
    <xf numFmtId="0" fontId="23" fillId="0" borderId="0" xfId="0" applyFont="1" applyBorder="1" applyAlignment="1"/>
    <xf numFmtId="0" fontId="23" fillId="0" borderId="0" xfId="0" applyFont="1" applyBorder="1"/>
    <xf numFmtId="0" fontId="22" fillId="3" borderId="2" xfId="0" applyNumberFormat="1" applyFont="1" applyFill="1" applyBorder="1" applyAlignment="1">
      <alignment horizontal="center" vertical="center"/>
    </xf>
    <xf numFmtId="0" fontId="22" fillId="3" borderId="0" xfId="0" applyNumberFormat="1" applyFont="1" applyFill="1" applyBorder="1" applyAlignment="1">
      <alignment horizontal="center" vertical="center"/>
    </xf>
    <xf numFmtId="0" fontId="22" fillId="3" borderId="3" xfId="0" applyNumberFormat="1" applyFont="1" applyFill="1" applyBorder="1" applyAlignment="1">
      <alignment horizontal="center" vertical="center"/>
    </xf>
    <xf numFmtId="0" fontId="32" fillId="4" borderId="0" xfId="0" applyFont="1" applyFill="1" applyBorder="1" applyAlignment="1">
      <alignment horizontal="center" vertical="center" wrapText="1"/>
    </xf>
    <xf numFmtId="0" fontId="31" fillId="3" borderId="4" xfId="0" applyFont="1" applyFill="1" applyBorder="1" applyAlignment="1">
      <alignment horizontal="center" vertical="center" shrinkToFit="1"/>
    </xf>
    <xf numFmtId="0" fontId="33" fillId="0" borderId="0" xfId="3" applyFont="1"/>
    <xf numFmtId="0" fontId="24" fillId="0" borderId="0" xfId="0" applyNumberFormat="1" applyFont="1" applyFill="1" applyBorder="1" applyAlignment="1">
      <alignment horizontal="center" vertical="center"/>
    </xf>
    <xf numFmtId="0" fontId="23" fillId="0" borderId="5" xfId="0" applyFont="1" applyBorder="1" applyAlignment="1">
      <alignment horizontal="center" vertical="center"/>
    </xf>
    <xf numFmtId="0" fontId="23" fillId="0" borderId="0" xfId="0" applyFont="1" applyAlignment="1">
      <alignment vertical="center"/>
    </xf>
    <xf numFmtId="0" fontId="23" fillId="2" borderId="0" xfId="0" applyFont="1" applyFill="1" applyAlignment="1"/>
    <xf numFmtId="0" fontId="23" fillId="2" borderId="0" xfId="0" applyFont="1" applyFill="1"/>
    <xf numFmtId="0" fontId="24" fillId="2" borderId="8" xfId="0" applyNumberFormat="1" applyFont="1" applyFill="1" applyBorder="1" applyAlignment="1">
      <alignment horizontal="center" vertical="center"/>
    </xf>
    <xf numFmtId="0" fontId="23" fillId="2" borderId="6" xfId="0" applyFont="1" applyFill="1" applyBorder="1" applyAlignment="1">
      <alignment horizontal="center" vertical="center"/>
    </xf>
    <xf numFmtId="0" fontId="23" fillId="0" borderId="0" xfId="0" applyFont="1" applyAlignment="1">
      <alignment horizontal="right" vertical="center"/>
    </xf>
    <xf numFmtId="0" fontId="23" fillId="0" borderId="0" xfId="0" applyFont="1" applyBorder="1"/>
    <xf numFmtId="179" fontId="2" fillId="0" borderId="0" xfId="50" applyNumberFormat="1">
      <alignment vertical="center"/>
    </xf>
    <xf numFmtId="0" fontId="2" fillId="0" borderId="0" xfId="50">
      <alignment vertical="center"/>
    </xf>
    <xf numFmtId="178" fontId="34" fillId="0" borderId="0" xfId="9" applyNumberFormat="1" applyFont="1" applyBorder="1" applyAlignment="1">
      <alignment horizontal="center" vertical="center"/>
    </xf>
    <xf numFmtId="178" fontId="34" fillId="0" borderId="0" xfId="9" applyNumberFormat="1" applyFont="1" applyBorder="1" applyAlignment="1">
      <alignment horizontal="left" vertical="center"/>
    </xf>
    <xf numFmtId="0" fontId="2" fillId="0" borderId="0" xfId="50" applyAlignment="1">
      <alignment horizontal="left" vertical="center"/>
    </xf>
    <xf numFmtId="0" fontId="33" fillId="3" borderId="0" xfId="0" applyFont="1" applyFill="1" applyBorder="1" applyAlignment="1">
      <alignment horizontal="center" vertical="center" wrapText="1"/>
    </xf>
    <xf numFmtId="0" fontId="33" fillId="3" borderId="0" xfId="0" applyFont="1" applyFill="1" applyBorder="1" applyAlignment="1">
      <alignment horizontal="left" vertical="center" indent="1"/>
    </xf>
    <xf numFmtId="0" fontId="37" fillId="0" borderId="15" xfId="0" applyFont="1" applyBorder="1" applyAlignment="1">
      <alignment horizontal="left" wrapText="1" indent="1"/>
    </xf>
    <xf numFmtId="2" fontId="37" fillId="0" borderId="15" xfId="0" applyNumberFormat="1" applyFont="1" applyBorder="1" applyAlignment="1">
      <alignment horizontal="left" wrapText="1" indent="1"/>
    </xf>
    <xf numFmtId="0" fontId="34" fillId="0" borderId="15" xfId="0" applyFont="1" applyBorder="1" applyAlignment="1">
      <alignment horizontal="center" vertical="center"/>
    </xf>
    <xf numFmtId="0" fontId="34" fillId="0" borderId="15" xfId="0" applyFont="1" applyBorder="1"/>
    <xf numFmtId="0" fontId="34" fillId="0" borderId="15" xfId="0" applyFont="1" applyFill="1" applyBorder="1" applyAlignment="1">
      <alignment horizontal="left" vertical="center" wrapText="1" indent="2"/>
    </xf>
    <xf numFmtId="2" fontId="34" fillId="0" borderId="15" xfId="0" applyNumberFormat="1" applyFont="1" applyFill="1" applyBorder="1" applyAlignment="1">
      <alignment horizontal="left" vertical="center" wrapText="1" indent="2"/>
    </xf>
    <xf numFmtId="0" fontId="34" fillId="0" borderId="15" xfId="0" applyFont="1" applyFill="1" applyBorder="1" applyAlignment="1">
      <alignment horizontal="center" vertical="center"/>
    </xf>
    <xf numFmtId="9" fontId="34" fillId="0" borderId="15" xfId="2" applyNumberFormat="1" applyFont="1" applyFill="1" applyBorder="1" applyAlignment="1">
      <alignment horizontal="center" vertical="center"/>
    </xf>
    <xf numFmtId="0" fontId="34" fillId="0" borderId="15" xfId="0" applyFont="1" applyBorder="1" applyAlignment="1">
      <alignment horizontal="left" vertical="center" wrapText="1" indent="2"/>
    </xf>
    <xf numFmtId="2" fontId="34" fillId="0" borderId="15" xfId="0" applyNumberFormat="1" applyFont="1" applyBorder="1" applyAlignment="1">
      <alignment horizontal="left" vertical="center" wrapText="1" indent="2"/>
    </xf>
    <xf numFmtId="9" fontId="34" fillId="0" borderId="15" xfId="2" applyNumberFormat="1" applyFont="1" applyBorder="1" applyAlignment="1">
      <alignment horizontal="center" vertical="center"/>
    </xf>
    <xf numFmtId="0" fontId="34" fillId="0" borderId="18" xfId="0" applyFont="1" applyBorder="1" applyAlignment="1">
      <alignment horizontal="left" vertical="center" wrapText="1" indent="2"/>
    </xf>
    <xf numFmtId="2" fontId="34" fillId="0" borderId="18" xfId="0" applyNumberFormat="1" applyFont="1" applyBorder="1" applyAlignment="1">
      <alignment horizontal="left" vertical="center" wrapText="1" indent="2"/>
    </xf>
    <xf numFmtId="0" fontId="34" fillId="0" borderId="18" xfId="0" applyFont="1" applyBorder="1" applyAlignment="1">
      <alignment horizontal="center" vertical="center"/>
    </xf>
    <xf numFmtId="9" fontId="34" fillId="0" borderId="18" xfId="2" applyNumberFormat="1" applyFont="1" applyBorder="1" applyAlignment="1">
      <alignment horizontal="center" vertical="center"/>
    </xf>
    <xf numFmtId="180" fontId="23" fillId="0" borderId="0" xfId="0" applyNumberFormat="1" applyFont="1"/>
    <xf numFmtId="180" fontId="23" fillId="0" borderId="0" xfId="0" applyNumberFormat="1" applyFont="1" applyAlignment="1">
      <alignment horizontal="center"/>
    </xf>
    <xf numFmtId="180" fontId="23" fillId="2" borderId="0" xfId="0" applyNumberFormat="1" applyFont="1" applyFill="1" applyAlignment="1">
      <alignment horizontal="center"/>
    </xf>
    <xf numFmtId="0" fontId="38" fillId="0" borderId="5" xfId="0" applyFont="1" applyBorder="1" applyAlignment="1">
      <alignment horizontal="center" vertical="center"/>
    </xf>
    <xf numFmtId="0" fontId="36" fillId="0" borderId="0" xfId="0" applyFont="1" applyAlignment="1">
      <alignment horizontal="left" vertical="center"/>
    </xf>
    <xf numFmtId="181" fontId="34" fillId="0" borderId="0" xfId="9" applyNumberFormat="1" applyFont="1" applyBorder="1" applyAlignment="1">
      <alignment horizontal="center" vertical="center"/>
    </xf>
    <xf numFmtId="0" fontId="23" fillId="0" borderId="0" xfId="8" applyFont="1" applyAlignment="1">
      <alignment horizontal="right" vertical="center"/>
    </xf>
    <xf numFmtId="178" fontId="23" fillId="0" borderId="7" xfId="9" applyNumberFormat="1" applyFont="1" applyBorder="1">
      <alignment horizontal="center" vertical="center"/>
    </xf>
    <xf numFmtId="2" fontId="23" fillId="0" borderId="7" xfId="0" applyNumberFormat="1" applyFont="1" applyBorder="1" applyAlignment="1">
      <alignment horizontal="right" vertical="center"/>
    </xf>
    <xf numFmtId="182" fontId="23" fillId="0" borderId="7" xfId="0" applyNumberFormat="1" applyFont="1" applyBorder="1" applyAlignment="1">
      <alignment horizontal="right" vertical="center"/>
    </xf>
    <xf numFmtId="0" fontId="33" fillId="3" borderId="0" xfId="0" applyFont="1" applyFill="1" applyAlignment="1">
      <alignment horizontal="center" vertical="center" wrapText="1"/>
    </xf>
    <xf numFmtId="180" fontId="33" fillId="3" borderId="0" xfId="0" applyNumberFormat="1" applyFont="1" applyFill="1" applyAlignment="1">
      <alignment horizontal="center" vertical="center" wrapText="1"/>
    </xf>
    <xf numFmtId="178" fontId="34" fillId="0" borderId="15" xfId="9" applyNumberFormat="1" applyFont="1" applyBorder="1">
      <alignment horizontal="center" vertical="center"/>
    </xf>
    <xf numFmtId="178" fontId="34" fillId="0" borderId="16" xfId="0" applyNumberFormat="1" applyFont="1" applyBorder="1"/>
    <xf numFmtId="178" fontId="34" fillId="0" borderId="15" xfId="9" applyNumberFormat="1" applyFont="1" applyFill="1" applyBorder="1">
      <alignment horizontal="center" vertical="center"/>
    </xf>
    <xf numFmtId="178" fontId="34" fillId="0" borderId="16" xfId="10" applyNumberFormat="1" applyFont="1" applyFill="1" applyBorder="1">
      <alignment horizontal="center" vertical="center"/>
    </xf>
    <xf numFmtId="178" fontId="34" fillId="0" borderId="16" xfId="10" applyNumberFormat="1" applyFont="1" applyBorder="1">
      <alignment horizontal="center" vertical="center"/>
    </xf>
    <xf numFmtId="178" fontId="34" fillId="0" borderId="18" xfId="9" applyNumberFormat="1" applyFont="1" applyBorder="1">
      <alignment horizontal="center" vertical="center"/>
    </xf>
    <xf numFmtId="178" fontId="34" fillId="0" borderId="17" xfId="10" applyNumberFormat="1" applyFont="1" applyBorder="1">
      <alignment horizontal="center" vertical="center"/>
    </xf>
    <xf numFmtId="0" fontId="23" fillId="2" borderId="0" xfId="0" applyFont="1" applyFill="1" applyAlignment="1">
      <alignment horizontal="center"/>
    </xf>
    <xf numFmtId="0" fontId="28" fillId="7" borderId="0" xfId="0" applyFont="1" applyFill="1" applyAlignment="1">
      <alignment horizontal="center" vertical="center"/>
    </xf>
    <xf numFmtId="0" fontId="29" fillId="40" borderId="0" xfId="0" applyFont="1" applyFill="1" applyAlignment="1">
      <alignment horizontal="center" vertical="center"/>
    </xf>
    <xf numFmtId="0" fontId="28" fillId="5" borderId="0" xfId="0" applyFont="1" applyFill="1" applyAlignment="1">
      <alignment horizontal="center" vertical="center"/>
    </xf>
    <xf numFmtId="0" fontId="29" fillId="6" borderId="0" xfId="0" applyFont="1" applyFill="1" applyAlignment="1">
      <alignment horizontal="center" vertical="center"/>
    </xf>
    <xf numFmtId="0" fontId="28" fillId="8" borderId="0" xfId="0" applyFont="1" applyFill="1" applyAlignment="1">
      <alignment horizontal="center" vertical="center"/>
    </xf>
  </cellXfs>
  <cellStyles count="53">
    <cellStyle name="20% - アクセント 1" xfId="27" builtinId="30" customBuiltin="1"/>
    <cellStyle name="20% - アクセント 2" xfId="31" builtinId="34" customBuiltin="1"/>
    <cellStyle name="20% - アクセント 3" xfId="35" builtinId="38" customBuiltin="1"/>
    <cellStyle name="20% - アクセント 4" xfId="39" builtinId="42" customBuiltin="1"/>
    <cellStyle name="20% - アクセント 5" xfId="43" builtinId="46" customBuiltin="1"/>
    <cellStyle name="20% - アクセント 6" xfId="47" builtinId="50" customBuiltin="1"/>
    <cellStyle name="40% - アクセント 1" xfId="28" builtinId="31" customBuiltin="1"/>
    <cellStyle name="40% - アクセント 2" xfId="32" builtinId="35" customBuiltin="1"/>
    <cellStyle name="40% - アクセント 3" xfId="36" builtinId="39" customBuiltin="1"/>
    <cellStyle name="40% - アクセント 4" xfId="40" builtinId="43" customBuiltin="1"/>
    <cellStyle name="40% - アクセント 5" xfId="44" builtinId="47" customBuiltin="1"/>
    <cellStyle name="40% - アクセント 6" xfId="48" builtinId="51" customBuiltin="1"/>
    <cellStyle name="60% - アクセント 1" xfId="29" builtinId="32" customBuiltin="1"/>
    <cellStyle name="60% - アクセント 2" xfId="33" builtinId="36" customBuiltin="1"/>
    <cellStyle name="60% - アクセント 3" xfId="37" builtinId="40" customBuiltin="1"/>
    <cellStyle name="60% - アクセント 4" xfId="41" builtinId="44" customBuiltin="1"/>
    <cellStyle name="60% - アクセント 5" xfId="45" builtinId="48" customBuiltin="1"/>
    <cellStyle name="60% - アクセント 6" xfId="49" builtinId="52" customBuiltin="1"/>
    <cellStyle name="z_非表示_テキスト" xfId="3" xr:uid="{00000000-0005-0000-0000-00000A000000}"/>
    <cellStyle name="アクセント 1" xfId="26" builtinId="29" customBuiltin="1"/>
    <cellStyle name="アクセント 2" xfId="30" builtinId="33" customBuiltin="1"/>
    <cellStyle name="アクセント 3" xfId="34" builtinId="37" customBuiltin="1"/>
    <cellStyle name="アクセント 4" xfId="38" builtinId="41" customBuiltin="1"/>
    <cellStyle name="アクセント 5" xfId="42" builtinId="45" customBuiltin="1"/>
    <cellStyle name="アクセント 6" xfId="46" builtinId="49" customBuiltin="1"/>
    <cellStyle name="タイトル" xfId="5" builtinId="15" customBuiltin="1"/>
    <cellStyle name="チェック セル" xfId="21" builtinId="23" customBuiltin="1"/>
    <cellStyle name="どちらでもない" xfId="16" builtinId="28" customBuiltin="1"/>
    <cellStyle name="パーセント" xfId="2" builtinId="5" customBuiltin="1"/>
    <cellStyle name="ハイパーリンク" xfId="1" builtinId="8" customBuiltin="1"/>
    <cellStyle name="メモ" xfId="23" builtinId="10" customBuiltin="1"/>
    <cellStyle name="リンク セル" xfId="20" builtinId="24" customBuiltin="1"/>
    <cellStyle name="悪い" xfId="15" builtinId="27" customBuiltin="1"/>
    <cellStyle name="計算" xfId="19" builtinId="22" customBuiltin="1"/>
    <cellStyle name="警告文" xfId="22" builtinId="11" customBuiltin="1"/>
    <cellStyle name="桁区切り" xfId="10"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3" builtinId="19" customBuiltin="1"/>
    <cellStyle name="集計" xfId="25" builtinId="25" customBuiltin="1"/>
    <cellStyle name="出力" xfId="18" builtinId="21" customBuiltin="1"/>
    <cellStyle name="説明文" xfId="24" builtinId="53" customBuiltin="1"/>
    <cellStyle name="通貨" xfId="12" builtinId="7" customBuiltin="1"/>
    <cellStyle name="通貨 [0.00]" xfId="11" builtinId="4" customBuiltin="1"/>
    <cellStyle name="日付" xfId="9" xr:uid="{00000000-0005-0000-0000-000002000000}"/>
    <cellStyle name="入力" xfId="17" builtinId="20" customBuiltin="1"/>
    <cellStyle name="標準" xfId="0" builtinId="0" customBuiltin="1"/>
    <cellStyle name="標準 2" xfId="50" xr:uid="{0442B543-6706-4EC3-B035-D3E930837F71}"/>
    <cellStyle name="標準 3" xfId="51" xr:uid="{45D2927A-1509-47BE-9CB9-2D32AA49BF57}"/>
    <cellStyle name="標準 4" xfId="52" xr:uid="{4A46C105-C1F7-45AE-8426-2902F4283AF7}"/>
    <cellStyle name="良い" xfId="14" builtinId="26" customBuiltin="1"/>
  </cellStyles>
  <dxfs count="25">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border>
        <left style="thin">
          <color rgb="FFC00000"/>
        </left>
        <right style="thin">
          <color rgb="FFC00000"/>
        </right>
        <vertical/>
        <horizontal/>
      </border>
    </dxf>
    <dxf>
      <fill>
        <patternFill>
          <bgColor theme="9" tint="-0.24994659260841701"/>
        </patternFill>
      </fill>
      <border>
        <left style="thin">
          <color theme="9" tint="-0.24994659260841701"/>
        </left>
        <right style="thin">
          <color theme="9" tint="-0.24994659260841701"/>
        </right>
        <top style="thin">
          <color theme="0"/>
        </top>
        <bottom style="thin">
          <color theme="0"/>
        </bottom>
        <vertical/>
        <horizontal/>
      </border>
    </dxf>
    <dxf>
      <fill>
        <patternFill>
          <bgColor theme="7" tint="-0.24994659260841701"/>
        </patternFill>
      </fill>
      <border>
        <left style="thin">
          <color theme="7" tint="-0.24994659260841701"/>
        </left>
        <right style="thin">
          <color theme="7" tint="-0.24994659260841701"/>
        </right>
        <top style="thin">
          <color theme="0"/>
        </top>
        <bottom style="thin">
          <color theme="0"/>
        </bottom>
      </border>
    </dxf>
    <dxf>
      <fill>
        <patternFill>
          <bgColor theme="6"/>
        </patternFill>
      </fill>
      <border>
        <left style="thin">
          <color theme="6"/>
        </left>
        <right style="thin">
          <color theme="6"/>
        </right>
        <top style="thin">
          <color theme="0"/>
        </top>
        <bottom style="thin">
          <color theme="0"/>
        </bottom>
      </border>
    </dxf>
    <dxf>
      <fill>
        <patternFill>
          <bgColor theme="4"/>
        </patternFill>
      </fill>
      <border>
        <left style="thin">
          <color theme="4"/>
        </left>
        <right style="thin">
          <color theme="4"/>
        </right>
        <top style="thin">
          <color theme="0"/>
        </top>
        <bottom style="thin">
          <color theme="0"/>
        </bottom>
      </border>
    </dxf>
    <dxf>
      <fill>
        <patternFill>
          <bgColor rgb="FFBFBFBF"/>
        </patternFill>
      </fill>
      <border>
        <left style="thin">
          <color theme="2" tint="-9.9948118533890809E-2"/>
        </left>
        <right style="thin">
          <color theme="2" tint="-9.9948118533890809E-2"/>
        </right>
        <top style="thin">
          <color theme="0"/>
        </top>
        <bottom style="thin">
          <color theme="0"/>
        </bottom>
        <vertical/>
        <horizontal/>
      </border>
    </dxf>
    <dxf>
      <fill>
        <patternFill>
          <bgColor theme="6" tint="0.59996337778862885"/>
        </patternFill>
      </fill>
      <border>
        <top style="thin">
          <color theme="0"/>
        </top>
        <bottom style="thin">
          <color theme="0"/>
        </bottom>
        <vertical/>
        <horizontal/>
      </border>
    </dxf>
    <dxf>
      <fill>
        <patternFill>
          <bgColor theme="6" tint="0.39994506668294322"/>
        </patternFill>
      </fill>
      <border>
        <top style="thin">
          <color theme="0"/>
        </top>
        <bottom style="thin">
          <color theme="0"/>
        </bottom>
      </border>
    </dxf>
    <dxf>
      <fill>
        <patternFill>
          <bgColor theme="6" tint="0.79998168889431442"/>
        </patternFill>
      </fill>
      <border>
        <top style="thin">
          <color theme="0"/>
        </top>
        <bottom style="thin">
          <color theme="0"/>
        </bottom>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3" tint="-0.24994659260841701"/>
      </font>
      <border diagonalUp="0" diagonalDown="0">
        <left/>
        <right style="thin">
          <color theme="6" tint="0.39994506668294322"/>
        </right>
        <top/>
        <bottom/>
        <vertical/>
        <horizontal/>
      </border>
    </dxf>
  </dxfs>
  <tableStyles count="2" defaultTableStyle="TableStyleMedium2" defaultPivotStyle="PivotStyleLight16">
    <tableStyle name="ガントの表スタイル" pivot="0" count="3" xr9:uid="{00000000-0011-0000-FFFF-FFFF00000000}">
      <tableStyleElement type="wholeTable" dxfId="24"/>
      <tableStyleElement type="headerRow" dxfId="23"/>
      <tableStyleElement type="firstRowStripe" dxfId="22"/>
    </tableStyle>
    <tableStyle name="作業リスト" pivot="0" count="9" xr9:uid="{00000000-0011-0000-FFFF-FFFF01000000}">
      <tableStyleElement type="wholeTable" dxfId="21"/>
      <tableStyleElement type="headerRow" dxfId="20"/>
      <tableStyleElement type="totalRow" dxfId="19"/>
      <tableStyleElement type="firstColumn" dxfId="18"/>
      <tableStyleElement type="lastColumn" dxfId="17"/>
      <tableStyleElement type="firstRowStripe" dxfId="16"/>
      <tableStyleElement type="secondRowStripe" dxfId="15"/>
      <tableStyleElement type="firstColumnStripe" dxfId="14"/>
      <tableStyleElement type="secondColumnStripe" dxfId="1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BFBFBF"/>
      <color rgb="FFC00000"/>
      <color rgb="FF215881"/>
      <color rgb="FF42648A"/>
      <color rgb="FF969696"/>
      <color rgb="FFC0C0C0"/>
      <color rgb="FF427FC2"/>
      <color rgb="FF44678E"/>
      <color rgb="FF4A6F9C"/>
      <color rgb="FF3969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Scroll" dx="39" fmlaLink="$J$4" horiz="1" max="365" page="2"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5</xdr:row>
          <xdr:rowOff>57150</xdr:rowOff>
        </xdr:from>
        <xdr:to>
          <xdr:col>67</xdr:col>
          <xdr:colOff>0</xdr:colOff>
          <xdr:row>5</xdr:row>
          <xdr:rowOff>238125</xdr:rowOff>
        </xdr:to>
        <xdr:sp macro="" textlink="">
          <xdr:nvSpPr>
            <xdr:cNvPr id="6149" name="スクロール バー 5" descr="スクロール バーを使用して、ガント プロジェクトのタイムラインをスクロールします。" hidden="1">
              <a:extLst>
                <a:ext uri="{63B3BB69-23CF-44E3-9099-C40C66FF867C}">
                  <a14:compatExt spid="_x0000_s6149"/>
                </a:ext>
                <a:ext uri="{FF2B5EF4-FFF2-40B4-BE49-F238E27FC236}">
                  <a16:creationId xmlns:a16="http://schemas.microsoft.com/office/drawing/2014/main" id="{00000000-0008-0000-0000-000005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374177</xdr:colOff>
      <xdr:row>0</xdr:row>
      <xdr:rowOff>1</xdr:rowOff>
    </xdr:from>
    <xdr:ext cx="520343" cy="207064"/>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374177" y="1"/>
          <a:ext cx="520343" cy="207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oAutofit/>
        </a:bodyPr>
        <a:lstStyle/>
        <a:p>
          <a:pPr algn="ctr"/>
          <a:r>
            <a:rPr kumimoji="1" lang="ja-JP" altLang="en-US" sz="1100">
              <a:solidFill>
                <a:schemeClr val="bg1"/>
              </a:solidFill>
            </a:rPr>
            <a:t>日付</a:t>
          </a: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0</xdr:col>
      <xdr:colOff>374177</xdr:colOff>
      <xdr:row>0</xdr:row>
      <xdr:rowOff>13938</xdr:rowOff>
    </xdr:from>
    <xdr:ext cx="520343" cy="181207"/>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374177" y="13938"/>
          <a:ext cx="520343" cy="181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kumimoji="1" lang="ja-JP" altLang="en-US" sz="1100">
              <a:solidFill>
                <a:schemeClr val="bg1"/>
              </a:solidFill>
            </a:rPr>
            <a:t>日付</a:t>
          </a:r>
        </a:p>
      </xdr:txBody>
    </xdr:sp>
    <xdr:clientData/>
  </xdr:oneCellAnchor>
</xdr:wsDr>
</file>

<file path=xl/theme/theme1.xml><?xml version="1.0" encoding="utf-8"?>
<a:theme xmlns:a="http://schemas.openxmlformats.org/drawingml/2006/main" name="Attitude">
  <a:themeElements>
    <a:clrScheme name="Attitude">
      <a:dk1>
        <a:sysClr val="windowText" lastClr="000000"/>
      </a:dk1>
      <a:lt1>
        <a:sysClr val="window" lastClr="FFFFFF"/>
      </a:lt1>
      <a:dk2>
        <a:srgbClr val="44546A"/>
      </a:dk2>
      <a:lt2>
        <a:srgbClr val="E7E6E6"/>
      </a:lt2>
      <a:accent1>
        <a:srgbClr val="1180AE"/>
      </a:accent1>
      <a:accent2>
        <a:srgbClr val="6C5B97"/>
      </a:accent2>
      <a:accent3>
        <a:srgbClr val="FCB239"/>
      </a:accent3>
      <a:accent4>
        <a:srgbClr val="D74061"/>
      </a:accent4>
      <a:accent5>
        <a:srgbClr val="F37A29"/>
      </a:accent5>
      <a:accent6>
        <a:srgbClr val="B66BA3"/>
      </a:accent6>
      <a:hlink>
        <a:srgbClr val="D2B356"/>
      </a:hlink>
      <a:folHlink>
        <a:srgbClr val="C5916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O33"/>
  <sheetViews>
    <sheetView tabSelected="1" zoomScale="55" zoomScaleNormal="55" workbookViewId="0">
      <pane xSplit="11" ySplit="7" topLeftCell="L8" activePane="bottomRight" state="frozen"/>
      <selection pane="topRight" activeCell="L1" sqref="L1"/>
      <selection pane="bottomLeft" activeCell="A8" sqref="A8"/>
      <selection pane="bottomRight" activeCell="L8" sqref="L8"/>
    </sheetView>
  </sheetViews>
  <sheetFormatPr defaultRowHeight="30" customHeight="1" x14ac:dyDescent="0.25"/>
  <cols>
    <col min="1" max="1" width="2.6640625" style="23" customWidth="1"/>
    <col min="2" max="2" width="28.44140625" style="11" customWidth="1"/>
    <col min="3" max="3" width="10.77734375" style="11" bestFit="1" customWidth="1"/>
    <col min="4" max="5" width="10.77734375" style="11" customWidth="1"/>
    <col min="6" max="6" width="10.5546875" style="5" customWidth="1"/>
    <col min="7" max="7" width="20.5546875" style="5" customWidth="1"/>
    <col min="8" max="8" width="27.77734375" style="5" bestFit="1" customWidth="1"/>
    <col min="9" max="9" width="21.33203125" style="56" bestFit="1" customWidth="1"/>
    <col min="10" max="10" width="21.33203125" style="56" customWidth="1"/>
    <col min="11" max="11" width="2.6640625" style="5" customWidth="1"/>
    <col min="12" max="67" width="3.5546875" style="5" customWidth="1"/>
    <col min="68" max="16384" width="8.88671875" style="5"/>
  </cols>
  <sheetData>
    <row r="1" spans="1:67" ht="30" customHeight="1" x14ac:dyDescent="0.45">
      <c r="A1" s="2" t="s">
        <v>0</v>
      </c>
      <c r="B1" s="3" t="s">
        <v>10</v>
      </c>
      <c r="C1" s="3"/>
      <c r="D1" s="3"/>
      <c r="E1" s="3"/>
      <c r="F1" s="3"/>
      <c r="G1" s="4"/>
      <c r="H1" s="4"/>
      <c r="I1" s="5"/>
      <c r="J1" s="55"/>
      <c r="L1" s="6" t="s">
        <v>31</v>
      </c>
      <c r="M1" s="1"/>
    </row>
    <row r="2" spans="1:67" ht="30" customHeight="1" x14ac:dyDescent="0.3">
      <c r="A2" s="2" t="s">
        <v>1</v>
      </c>
      <c r="B2" s="7" t="s">
        <v>11</v>
      </c>
      <c r="C2" s="7"/>
      <c r="D2" s="7"/>
      <c r="E2" s="7"/>
      <c r="F2" s="8"/>
      <c r="I2" s="61" t="s">
        <v>29</v>
      </c>
      <c r="J2" s="62">
        <v>43983</v>
      </c>
      <c r="L2" s="77" t="s">
        <v>28</v>
      </c>
      <c r="M2" s="77"/>
      <c r="N2" s="77"/>
      <c r="O2" s="77"/>
      <c r="Q2" s="78" t="s">
        <v>25</v>
      </c>
      <c r="R2" s="78"/>
      <c r="S2" s="78"/>
      <c r="T2" s="78"/>
      <c r="V2" s="79" t="s">
        <v>26</v>
      </c>
      <c r="W2" s="79"/>
      <c r="X2" s="79"/>
      <c r="Y2" s="79"/>
      <c r="AA2" s="75" t="s">
        <v>27</v>
      </c>
      <c r="AB2" s="75"/>
      <c r="AC2" s="75"/>
      <c r="AD2" s="75"/>
      <c r="AF2" s="76" t="s">
        <v>64</v>
      </c>
      <c r="AG2" s="76"/>
      <c r="AH2" s="76"/>
      <c r="AI2" s="76"/>
      <c r="AK2" s="25" t="s">
        <v>66</v>
      </c>
      <c r="AL2" s="59" t="s">
        <v>55</v>
      </c>
      <c r="AM2" s="59"/>
      <c r="AN2" s="59"/>
      <c r="AO2" s="59"/>
      <c r="AU2" s="59"/>
    </row>
    <row r="3" spans="1:67" ht="30" customHeight="1" x14ac:dyDescent="0.25">
      <c r="A3" s="2" t="s">
        <v>2</v>
      </c>
      <c r="B3" s="9" t="s">
        <v>12</v>
      </c>
      <c r="C3" s="9"/>
      <c r="D3" s="9"/>
      <c r="E3" s="9"/>
      <c r="F3" s="10"/>
      <c r="I3" s="31" t="s">
        <v>56</v>
      </c>
      <c r="J3" s="63">
        <v>8</v>
      </c>
      <c r="K3" s="17"/>
    </row>
    <row r="4" spans="1:67" ht="30" customHeight="1" x14ac:dyDescent="0.3">
      <c r="A4" s="2" t="s">
        <v>3</v>
      </c>
      <c r="I4" s="61" t="s">
        <v>61</v>
      </c>
      <c r="J4" s="64">
        <v>0</v>
      </c>
      <c r="L4" s="12" t="str">
        <f ca="1">TEXT(L5,"m月")</f>
        <v>6月</v>
      </c>
      <c r="M4" s="12"/>
      <c r="N4" s="12"/>
      <c r="O4" s="12"/>
      <c r="P4" s="12"/>
      <c r="Q4" s="12"/>
      <c r="R4" s="12"/>
      <c r="S4" s="12" t="str">
        <f ca="1">IF(TEXT(S5,"m月")=L4,"",TEXT(S5,"m月"))</f>
        <v/>
      </c>
      <c r="T4" s="12"/>
      <c r="U4" s="12"/>
      <c r="V4" s="12"/>
      <c r="W4" s="12"/>
      <c r="X4" s="12"/>
      <c r="Y4" s="12"/>
      <c r="Z4" s="12" t="str">
        <f ca="1">IF(OR(TEXT(Z5,"m月")=S4,TEXT(Z5,"m月")=L4),"",TEXT(Z5,"m月"))</f>
        <v/>
      </c>
      <c r="AA4" s="12"/>
      <c r="AB4" s="12"/>
      <c r="AC4" s="12"/>
      <c r="AD4" s="12"/>
      <c r="AE4" s="12"/>
      <c r="AF4" s="12"/>
      <c r="AG4" s="12" t="str">
        <f ca="1">IF(OR(TEXT(AG5,"m月")=Z4,TEXT(AG5,"m月")=S4,TEXT(AG5,"m月")=L4),"",TEXT(AG5,"m月"))</f>
        <v/>
      </c>
      <c r="AH4" s="12"/>
      <c r="AI4" s="12"/>
      <c r="AJ4" s="12"/>
      <c r="AK4" s="12"/>
      <c r="AL4" s="12"/>
      <c r="AM4" s="12"/>
      <c r="AN4" s="12" t="str">
        <f ca="1">IF(OR(TEXT(AN5,"m月")=AG4,TEXT(AN5,"m月")=Z4,TEXT(AN5,"m月")=S4,TEXT(AN5,"m月")=L4),"",TEXT(AN5,"m月"))</f>
        <v/>
      </c>
      <c r="AO4" s="12"/>
      <c r="AP4" s="12"/>
      <c r="AQ4" s="12"/>
      <c r="AR4" s="12"/>
      <c r="AS4" s="12"/>
      <c r="AT4" s="12"/>
      <c r="AU4" s="12" t="str">
        <f ca="1">IF(OR(TEXT(AU5,"m月")=AN4,TEXT(AU5,"m月")=AG4,TEXT(AU5,"m月")=Z4,TEXT(AU5,"m月")=S4),"",TEXT(AU5,"m月"))</f>
        <v>7月</v>
      </c>
      <c r="AV4" s="12"/>
      <c r="AW4" s="12"/>
      <c r="AX4" s="12"/>
      <c r="AY4" s="12"/>
      <c r="AZ4" s="12"/>
      <c r="BA4" s="12"/>
      <c r="BB4" s="12" t="str">
        <f ca="1">IF(OR(TEXT(BB5,"m月")=AU4,TEXT(BB5,"m月")=AN4,TEXT(BB5,"m月")=AG4,TEXT(BB5,"m月")=Z4),"",TEXT(BB5,"m月"))</f>
        <v/>
      </c>
      <c r="BC4" s="12"/>
      <c r="BD4" s="12"/>
      <c r="BE4" s="12"/>
      <c r="BF4" s="12"/>
      <c r="BG4" s="12"/>
      <c r="BH4" s="12"/>
      <c r="BI4" s="12" t="str">
        <f ca="1">IF(OR(TEXT(BI5,"m月")=BB4,TEXT(BI5,"m月")=AU4,TEXT(BI5,"m月")=AN4,TEXT(BI5,"m月")=AG4),"",TEXT(BI5,"m月"))</f>
        <v/>
      </c>
      <c r="BJ4" s="12"/>
      <c r="BK4" s="12"/>
      <c r="BL4" s="12"/>
      <c r="BM4" s="12"/>
      <c r="BN4" s="12"/>
      <c r="BO4" s="12"/>
    </row>
    <row r="5" spans="1:67" ht="15" customHeight="1" x14ac:dyDescent="0.25">
      <c r="A5" s="2" t="s">
        <v>4</v>
      </c>
      <c r="B5" s="32"/>
      <c r="C5" s="32"/>
      <c r="D5" s="32"/>
      <c r="E5" s="32"/>
      <c r="F5" s="32"/>
      <c r="G5" s="32"/>
      <c r="H5" s="32"/>
      <c r="I5" s="5"/>
      <c r="J5" s="55"/>
      <c r="K5" s="32"/>
      <c r="L5" s="13">
        <f ca="1">IFERROR(Project_Start+Scrolling_Increment,TODAY())</f>
        <v>43983</v>
      </c>
      <c r="M5" s="14">
        <f ca="1">L5+1</f>
        <v>43984</v>
      </c>
      <c r="N5" s="14">
        <f t="shared" ref="N5:BA5" ca="1" si="0">M5+1</f>
        <v>43985</v>
      </c>
      <c r="O5" s="14">
        <f t="shared" ca="1" si="0"/>
        <v>43986</v>
      </c>
      <c r="P5" s="14">
        <f t="shared" ca="1" si="0"/>
        <v>43987</v>
      </c>
      <c r="Q5" s="14">
        <f t="shared" ca="1" si="0"/>
        <v>43988</v>
      </c>
      <c r="R5" s="15">
        <f t="shared" ca="1" si="0"/>
        <v>43989</v>
      </c>
      <c r="S5" s="13">
        <f ca="1">R5+1</f>
        <v>43990</v>
      </c>
      <c r="T5" s="14">
        <f ca="1">S5+1</f>
        <v>43991</v>
      </c>
      <c r="U5" s="14">
        <f t="shared" ca="1" si="0"/>
        <v>43992</v>
      </c>
      <c r="V5" s="14">
        <f t="shared" ca="1" si="0"/>
        <v>43993</v>
      </c>
      <c r="W5" s="14">
        <f t="shared" ca="1" si="0"/>
        <v>43994</v>
      </c>
      <c r="X5" s="14">
        <f t="shared" ca="1" si="0"/>
        <v>43995</v>
      </c>
      <c r="Y5" s="15">
        <f t="shared" ca="1" si="0"/>
        <v>43996</v>
      </c>
      <c r="Z5" s="13">
        <f ca="1">Y5+1</f>
        <v>43997</v>
      </c>
      <c r="AA5" s="14">
        <f ca="1">Z5+1</f>
        <v>43998</v>
      </c>
      <c r="AB5" s="14">
        <f t="shared" ca="1" si="0"/>
        <v>43999</v>
      </c>
      <c r="AC5" s="14">
        <f t="shared" ca="1" si="0"/>
        <v>44000</v>
      </c>
      <c r="AD5" s="14">
        <f t="shared" ca="1" si="0"/>
        <v>44001</v>
      </c>
      <c r="AE5" s="14">
        <f t="shared" ca="1" si="0"/>
        <v>44002</v>
      </c>
      <c r="AF5" s="15">
        <f t="shared" ca="1" si="0"/>
        <v>44003</v>
      </c>
      <c r="AG5" s="13">
        <f ca="1">AF5+1</f>
        <v>44004</v>
      </c>
      <c r="AH5" s="14">
        <f ca="1">AG5+1</f>
        <v>44005</v>
      </c>
      <c r="AI5" s="14">
        <f t="shared" ca="1" si="0"/>
        <v>44006</v>
      </c>
      <c r="AJ5" s="14">
        <f t="shared" ca="1" si="0"/>
        <v>44007</v>
      </c>
      <c r="AK5" s="14">
        <f t="shared" ca="1" si="0"/>
        <v>44008</v>
      </c>
      <c r="AL5" s="14">
        <f t="shared" ca="1" si="0"/>
        <v>44009</v>
      </c>
      <c r="AM5" s="15">
        <f t="shared" ca="1" si="0"/>
        <v>44010</v>
      </c>
      <c r="AN5" s="13">
        <f ca="1">AM5+1</f>
        <v>44011</v>
      </c>
      <c r="AO5" s="14">
        <f ca="1">AN5+1</f>
        <v>44012</v>
      </c>
      <c r="AP5" s="14">
        <f t="shared" ca="1" si="0"/>
        <v>44013</v>
      </c>
      <c r="AQ5" s="14">
        <f t="shared" ca="1" si="0"/>
        <v>44014</v>
      </c>
      <c r="AR5" s="14">
        <f t="shared" ca="1" si="0"/>
        <v>44015</v>
      </c>
      <c r="AS5" s="14">
        <f t="shared" ca="1" si="0"/>
        <v>44016</v>
      </c>
      <c r="AT5" s="15">
        <f t="shared" ca="1" si="0"/>
        <v>44017</v>
      </c>
      <c r="AU5" s="13">
        <f ca="1">AT5+1</f>
        <v>44018</v>
      </c>
      <c r="AV5" s="14">
        <f ca="1">AU5+1</f>
        <v>44019</v>
      </c>
      <c r="AW5" s="14">
        <f t="shared" ca="1" si="0"/>
        <v>44020</v>
      </c>
      <c r="AX5" s="14">
        <f t="shared" ca="1" si="0"/>
        <v>44021</v>
      </c>
      <c r="AY5" s="14">
        <f t="shared" ca="1" si="0"/>
        <v>44022</v>
      </c>
      <c r="AZ5" s="14">
        <f t="shared" ca="1" si="0"/>
        <v>44023</v>
      </c>
      <c r="BA5" s="15">
        <f t="shared" ca="1" si="0"/>
        <v>44024</v>
      </c>
      <c r="BB5" s="13">
        <f t="shared" ref="BB5:BO5" ca="1" si="1">BA5+1</f>
        <v>44025</v>
      </c>
      <c r="BC5" s="14">
        <f t="shared" ca="1" si="1"/>
        <v>44026</v>
      </c>
      <c r="BD5" s="14">
        <f t="shared" ca="1" si="1"/>
        <v>44027</v>
      </c>
      <c r="BE5" s="14">
        <f t="shared" ca="1" si="1"/>
        <v>44028</v>
      </c>
      <c r="BF5" s="14">
        <f t="shared" ca="1" si="1"/>
        <v>44029</v>
      </c>
      <c r="BG5" s="14">
        <f t="shared" ca="1" si="1"/>
        <v>44030</v>
      </c>
      <c r="BH5" s="15">
        <f t="shared" ca="1" si="1"/>
        <v>44031</v>
      </c>
      <c r="BI5" s="13">
        <f t="shared" ca="1" si="1"/>
        <v>44032</v>
      </c>
      <c r="BJ5" s="14">
        <f t="shared" ca="1" si="1"/>
        <v>44033</v>
      </c>
      <c r="BK5" s="14">
        <f t="shared" ca="1" si="1"/>
        <v>44034</v>
      </c>
      <c r="BL5" s="14">
        <f t="shared" ca="1" si="1"/>
        <v>44035</v>
      </c>
      <c r="BM5" s="14">
        <f t="shared" ca="1" si="1"/>
        <v>44036</v>
      </c>
      <c r="BN5" s="14">
        <f t="shared" ca="1" si="1"/>
        <v>44037</v>
      </c>
      <c r="BO5" s="15">
        <f t="shared" ca="1" si="1"/>
        <v>44038</v>
      </c>
    </row>
    <row r="6" spans="1:67" ht="25.15" customHeight="1" x14ac:dyDescent="0.25">
      <c r="A6" s="2" t="s">
        <v>5</v>
      </c>
      <c r="B6" s="16"/>
      <c r="C6" s="16"/>
      <c r="D6" s="16"/>
      <c r="E6" s="16"/>
      <c r="F6" s="32"/>
      <c r="G6" s="32"/>
      <c r="H6" s="32"/>
      <c r="I6" s="5"/>
      <c r="J6" s="55"/>
      <c r="K6" s="32"/>
      <c r="L6" s="18"/>
      <c r="M6" s="19"/>
      <c r="N6" s="19"/>
      <c r="O6" s="19"/>
      <c r="P6" s="19"/>
      <c r="Q6" s="19"/>
      <c r="R6" s="20"/>
      <c r="S6" s="18"/>
      <c r="T6" s="19"/>
      <c r="U6" s="19"/>
      <c r="V6" s="19"/>
      <c r="W6" s="19"/>
      <c r="X6" s="19"/>
      <c r="Y6" s="20"/>
      <c r="Z6" s="18"/>
      <c r="AA6" s="19"/>
      <c r="AB6" s="19"/>
      <c r="AC6" s="19"/>
      <c r="AD6" s="19"/>
      <c r="AE6" s="19"/>
      <c r="AF6" s="20"/>
      <c r="AG6" s="18"/>
      <c r="AH6" s="19"/>
      <c r="AI6" s="19"/>
      <c r="AJ6" s="19"/>
      <c r="AK6" s="19"/>
      <c r="AL6" s="19"/>
      <c r="AM6" s="20"/>
      <c r="AN6" s="18"/>
      <c r="AO6" s="19"/>
      <c r="AP6" s="19"/>
      <c r="AQ6" s="19"/>
      <c r="AR6" s="19"/>
      <c r="AS6" s="19"/>
      <c r="AT6" s="20"/>
      <c r="AU6" s="18"/>
      <c r="AV6" s="19"/>
      <c r="AW6" s="19"/>
      <c r="AX6" s="19"/>
      <c r="AY6" s="19"/>
      <c r="AZ6" s="19"/>
      <c r="BA6" s="20"/>
      <c r="BB6" s="18"/>
      <c r="BC6" s="19"/>
      <c r="BD6" s="19"/>
      <c r="BE6" s="19"/>
      <c r="BF6" s="19"/>
      <c r="BG6" s="19"/>
      <c r="BH6" s="20"/>
      <c r="BI6" s="18"/>
      <c r="BJ6" s="19"/>
      <c r="BK6" s="19"/>
      <c r="BL6" s="19"/>
      <c r="BM6" s="19"/>
      <c r="BN6" s="19"/>
      <c r="BO6" s="20"/>
    </row>
    <row r="7" spans="1:67" ht="30.95" customHeight="1" thickBot="1" x14ac:dyDescent="0.3">
      <c r="A7" s="2" t="s">
        <v>6</v>
      </c>
      <c r="B7" s="39" t="s">
        <v>13</v>
      </c>
      <c r="C7" s="38" t="s">
        <v>62</v>
      </c>
      <c r="D7" s="38" t="s">
        <v>63</v>
      </c>
      <c r="E7" s="38" t="s">
        <v>32</v>
      </c>
      <c r="F7" s="38" t="s">
        <v>24</v>
      </c>
      <c r="G7" s="38" t="s">
        <v>30</v>
      </c>
      <c r="H7" s="38" t="s">
        <v>65</v>
      </c>
      <c r="I7" s="65" t="s">
        <v>33</v>
      </c>
      <c r="J7" s="66" t="s">
        <v>34</v>
      </c>
      <c r="K7" s="21"/>
      <c r="L7" s="22" t="str">
        <f t="shared" ref="L7:AQ7" ca="1" si="2">LEFT(TEXT(L5,"aaa"),1)</f>
        <v>月</v>
      </c>
      <c r="M7" s="22" t="str">
        <f t="shared" ca="1" si="2"/>
        <v>火</v>
      </c>
      <c r="N7" s="22" t="str">
        <f t="shared" ca="1" si="2"/>
        <v>水</v>
      </c>
      <c r="O7" s="22" t="str">
        <f t="shared" ca="1" si="2"/>
        <v>木</v>
      </c>
      <c r="P7" s="22" t="str">
        <f t="shared" ca="1" si="2"/>
        <v>金</v>
      </c>
      <c r="Q7" s="22" t="str">
        <f t="shared" ca="1" si="2"/>
        <v>土</v>
      </c>
      <c r="R7" s="22" t="str">
        <f t="shared" ca="1" si="2"/>
        <v>日</v>
      </c>
      <c r="S7" s="22" t="str">
        <f t="shared" ca="1" si="2"/>
        <v>月</v>
      </c>
      <c r="T7" s="22" t="str">
        <f t="shared" ca="1" si="2"/>
        <v>火</v>
      </c>
      <c r="U7" s="22" t="str">
        <f t="shared" ca="1" si="2"/>
        <v>水</v>
      </c>
      <c r="V7" s="22" t="str">
        <f t="shared" ca="1" si="2"/>
        <v>木</v>
      </c>
      <c r="W7" s="22" t="str">
        <f t="shared" ca="1" si="2"/>
        <v>金</v>
      </c>
      <c r="X7" s="22" t="str">
        <f t="shared" ca="1" si="2"/>
        <v>土</v>
      </c>
      <c r="Y7" s="22" t="str">
        <f t="shared" ca="1" si="2"/>
        <v>日</v>
      </c>
      <c r="Z7" s="22" t="str">
        <f t="shared" ca="1" si="2"/>
        <v>月</v>
      </c>
      <c r="AA7" s="22" t="str">
        <f t="shared" ca="1" si="2"/>
        <v>火</v>
      </c>
      <c r="AB7" s="22" t="str">
        <f t="shared" ca="1" si="2"/>
        <v>水</v>
      </c>
      <c r="AC7" s="22" t="str">
        <f t="shared" ca="1" si="2"/>
        <v>木</v>
      </c>
      <c r="AD7" s="22" t="str">
        <f t="shared" ca="1" si="2"/>
        <v>金</v>
      </c>
      <c r="AE7" s="22" t="str">
        <f t="shared" ca="1" si="2"/>
        <v>土</v>
      </c>
      <c r="AF7" s="22" t="str">
        <f t="shared" ca="1" si="2"/>
        <v>日</v>
      </c>
      <c r="AG7" s="22" t="str">
        <f t="shared" ca="1" si="2"/>
        <v>月</v>
      </c>
      <c r="AH7" s="22" t="str">
        <f t="shared" ca="1" si="2"/>
        <v>火</v>
      </c>
      <c r="AI7" s="22" t="str">
        <f t="shared" ca="1" si="2"/>
        <v>水</v>
      </c>
      <c r="AJ7" s="22" t="str">
        <f t="shared" ca="1" si="2"/>
        <v>木</v>
      </c>
      <c r="AK7" s="22" t="str">
        <f t="shared" ca="1" si="2"/>
        <v>金</v>
      </c>
      <c r="AL7" s="22" t="str">
        <f t="shared" ca="1" si="2"/>
        <v>土</v>
      </c>
      <c r="AM7" s="22" t="str">
        <f t="shared" ca="1" si="2"/>
        <v>日</v>
      </c>
      <c r="AN7" s="22" t="str">
        <f t="shared" ca="1" si="2"/>
        <v>月</v>
      </c>
      <c r="AO7" s="22" t="str">
        <f t="shared" ca="1" si="2"/>
        <v>火</v>
      </c>
      <c r="AP7" s="22" t="str">
        <f t="shared" ca="1" si="2"/>
        <v>水</v>
      </c>
      <c r="AQ7" s="22" t="str">
        <f t="shared" ca="1" si="2"/>
        <v>木</v>
      </c>
      <c r="AR7" s="22" t="str">
        <f t="shared" ref="AR7:BO7" ca="1" si="3">LEFT(TEXT(AR5,"aaa"),1)</f>
        <v>金</v>
      </c>
      <c r="AS7" s="22" t="str">
        <f t="shared" ca="1" si="3"/>
        <v>土</v>
      </c>
      <c r="AT7" s="22" t="str">
        <f t="shared" ca="1" si="3"/>
        <v>日</v>
      </c>
      <c r="AU7" s="22" t="str">
        <f t="shared" ca="1" si="3"/>
        <v>月</v>
      </c>
      <c r="AV7" s="22" t="str">
        <f t="shared" ca="1" si="3"/>
        <v>火</v>
      </c>
      <c r="AW7" s="22" t="str">
        <f t="shared" ca="1" si="3"/>
        <v>水</v>
      </c>
      <c r="AX7" s="22" t="str">
        <f t="shared" ca="1" si="3"/>
        <v>木</v>
      </c>
      <c r="AY7" s="22" t="str">
        <f t="shared" ca="1" si="3"/>
        <v>金</v>
      </c>
      <c r="AZ7" s="22" t="str">
        <f t="shared" ca="1" si="3"/>
        <v>土</v>
      </c>
      <c r="BA7" s="22" t="str">
        <f t="shared" ca="1" si="3"/>
        <v>日</v>
      </c>
      <c r="BB7" s="22" t="str">
        <f t="shared" ca="1" si="3"/>
        <v>月</v>
      </c>
      <c r="BC7" s="22" t="str">
        <f t="shared" ca="1" si="3"/>
        <v>火</v>
      </c>
      <c r="BD7" s="22" t="str">
        <f t="shared" ca="1" si="3"/>
        <v>水</v>
      </c>
      <c r="BE7" s="22" t="str">
        <f t="shared" ca="1" si="3"/>
        <v>木</v>
      </c>
      <c r="BF7" s="22" t="str">
        <f t="shared" ca="1" si="3"/>
        <v>金</v>
      </c>
      <c r="BG7" s="22" t="str">
        <f t="shared" ca="1" si="3"/>
        <v>土</v>
      </c>
      <c r="BH7" s="22" t="str">
        <f t="shared" ca="1" si="3"/>
        <v>日</v>
      </c>
      <c r="BI7" s="22" t="str">
        <f t="shared" ca="1" si="3"/>
        <v>月</v>
      </c>
      <c r="BJ7" s="22" t="str">
        <f t="shared" ca="1" si="3"/>
        <v>火</v>
      </c>
      <c r="BK7" s="22" t="str">
        <f t="shared" ca="1" si="3"/>
        <v>水</v>
      </c>
      <c r="BL7" s="22" t="str">
        <f t="shared" ca="1" si="3"/>
        <v>木</v>
      </c>
      <c r="BM7" s="22" t="str">
        <f t="shared" ca="1" si="3"/>
        <v>金</v>
      </c>
      <c r="BN7" s="22" t="str">
        <f t="shared" ca="1" si="3"/>
        <v>土</v>
      </c>
      <c r="BO7" s="22" t="str">
        <f t="shared" ca="1" si="3"/>
        <v>日</v>
      </c>
    </row>
    <row r="8" spans="1:67" s="26" customFormat="1" ht="30" customHeight="1" x14ac:dyDescent="0.25">
      <c r="A8" s="2" t="s">
        <v>7</v>
      </c>
      <c r="B8" s="40" t="s">
        <v>14</v>
      </c>
      <c r="C8" s="41"/>
      <c r="D8" s="41"/>
      <c r="E8" s="43"/>
      <c r="F8" s="42"/>
      <c r="G8" s="42"/>
      <c r="H8" s="42"/>
      <c r="I8" s="67"/>
      <c r="J8" s="68"/>
      <c r="K8" s="24"/>
      <c r="L8" s="58" t="str">
        <f>IF(
    $F8="",
    "",
    IF(
        $F8="マイルストーン",
        IF(DATE(YEAR(L$5),MONTH(L$5),DAY(L$5))=$I8,"▲",""),
        IF(
            AND(DATE(YEAR($I8),MONTH($I8),DAY($I8))&lt;=L$5,L$5&lt;=$J8),
            calendarHowSpend($I8,$C8,$H8&amp;"",L$5)/$J$3,
            ""
        )
    )
)</f>
        <v/>
      </c>
      <c r="M8" s="58" t="str">
        <f t="shared" ref="M8:AB23" si="4">IF(
    $F8="",
    "",
    IF(
        $F8="マイルストーン",
        IF(DATE(YEAR(M$5),MONTH(M$5),DAY(M$5))=$I8,"▲",""),
        IF(
            AND(DATE(YEAR($I8),MONTH($I8),DAY($I8))&lt;=M$5,M$5&lt;=$J8),
            calendarHowSpend($I8,$C8,$H8&amp;"",M$5)/$J$3,
            ""
        )
    )
)</f>
        <v/>
      </c>
      <c r="N8" s="58" t="str">
        <f t="shared" si="4"/>
        <v/>
      </c>
      <c r="O8" s="58" t="str">
        <f t="shared" si="4"/>
        <v/>
      </c>
      <c r="P8" s="58" t="str">
        <f t="shared" si="4"/>
        <v/>
      </c>
      <c r="Q8" s="58" t="str">
        <f t="shared" si="4"/>
        <v/>
      </c>
      <c r="R8" s="58" t="str">
        <f t="shared" si="4"/>
        <v/>
      </c>
      <c r="S8" s="58" t="str">
        <f t="shared" si="4"/>
        <v/>
      </c>
      <c r="T8" s="58" t="str">
        <f t="shared" si="4"/>
        <v/>
      </c>
      <c r="U8" s="58" t="str">
        <f t="shared" si="4"/>
        <v/>
      </c>
      <c r="V8" s="58" t="str">
        <f t="shared" si="4"/>
        <v/>
      </c>
      <c r="W8" s="58" t="str">
        <f t="shared" si="4"/>
        <v/>
      </c>
      <c r="X8" s="58" t="str">
        <f t="shared" si="4"/>
        <v/>
      </c>
      <c r="Y8" s="58" t="str">
        <f t="shared" si="4"/>
        <v/>
      </c>
      <c r="Z8" s="58" t="str">
        <f t="shared" si="4"/>
        <v/>
      </c>
      <c r="AA8" s="58" t="str">
        <f t="shared" si="4"/>
        <v/>
      </c>
      <c r="AB8" s="58" t="str">
        <f t="shared" si="4"/>
        <v/>
      </c>
      <c r="AC8" s="58" t="str">
        <f t="shared" ref="AC8:AR23" si="5">IF(
    $F8="",
    "",
    IF(
        $F8="マイルストーン",
        IF(DATE(YEAR(AC$5),MONTH(AC$5),DAY(AC$5))=$I8,"▲",""),
        IF(
            AND(DATE(YEAR($I8),MONTH($I8),DAY($I8))&lt;=AC$5,AC$5&lt;=$J8),
            calendarHowSpend($I8,$C8,$H8&amp;"",AC$5)/$J$3,
            ""
        )
    )
)</f>
        <v/>
      </c>
      <c r="AD8" s="58" t="str">
        <f t="shared" si="5"/>
        <v/>
      </c>
      <c r="AE8" s="58" t="str">
        <f t="shared" si="5"/>
        <v/>
      </c>
      <c r="AF8" s="58" t="str">
        <f t="shared" si="5"/>
        <v/>
      </c>
      <c r="AG8" s="58" t="str">
        <f t="shared" si="5"/>
        <v/>
      </c>
      <c r="AH8" s="58" t="str">
        <f t="shared" si="5"/>
        <v/>
      </c>
      <c r="AI8" s="58" t="str">
        <f t="shared" si="5"/>
        <v/>
      </c>
      <c r="AJ8" s="58" t="str">
        <f t="shared" si="5"/>
        <v/>
      </c>
      <c r="AK8" s="58" t="str">
        <f t="shared" si="5"/>
        <v/>
      </c>
      <c r="AL8" s="58" t="str">
        <f t="shared" si="5"/>
        <v/>
      </c>
      <c r="AM8" s="58" t="str">
        <f t="shared" si="5"/>
        <v/>
      </c>
      <c r="AN8" s="58" t="str">
        <f t="shared" si="5"/>
        <v/>
      </c>
      <c r="AO8" s="58" t="str">
        <f t="shared" si="5"/>
        <v/>
      </c>
      <c r="AP8" s="58" t="str">
        <f t="shared" si="5"/>
        <v/>
      </c>
      <c r="AQ8" s="58" t="str">
        <f t="shared" si="5"/>
        <v/>
      </c>
      <c r="AR8" s="58" t="str">
        <f t="shared" si="5"/>
        <v/>
      </c>
      <c r="AS8" s="58" t="str">
        <f t="shared" ref="AS8:BH23" si="6">IF(
    $F8="",
    "",
    IF(
        $F8="マイルストーン",
        IF(DATE(YEAR(AS$5),MONTH(AS$5),DAY(AS$5))=$I8,"▲",""),
        IF(
            AND(DATE(YEAR($I8),MONTH($I8),DAY($I8))&lt;=AS$5,AS$5&lt;=$J8),
            calendarHowSpend($I8,$C8,$H8&amp;"",AS$5)/$J$3,
            ""
        )
    )
)</f>
        <v/>
      </c>
      <c r="AT8" s="58" t="str">
        <f t="shared" si="6"/>
        <v/>
      </c>
      <c r="AU8" s="58" t="str">
        <f t="shared" si="6"/>
        <v/>
      </c>
      <c r="AV8" s="58" t="str">
        <f t="shared" si="6"/>
        <v/>
      </c>
      <c r="AW8" s="58" t="str">
        <f t="shared" si="6"/>
        <v/>
      </c>
      <c r="AX8" s="58" t="str">
        <f t="shared" si="6"/>
        <v/>
      </c>
      <c r="AY8" s="58" t="str">
        <f t="shared" si="6"/>
        <v/>
      </c>
      <c r="AZ8" s="58" t="str">
        <f t="shared" si="6"/>
        <v/>
      </c>
      <c r="BA8" s="58" t="str">
        <f t="shared" si="6"/>
        <v/>
      </c>
      <c r="BB8" s="58" t="str">
        <f t="shared" si="6"/>
        <v/>
      </c>
      <c r="BC8" s="58" t="str">
        <f t="shared" si="6"/>
        <v/>
      </c>
      <c r="BD8" s="58" t="str">
        <f t="shared" si="6"/>
        <v/>
      </c>
      <c r="BE8" s="58" t="str">
        <f t="shared" si="6"/>
        <v/>
      </c>
      <c r="BF8" s="58" t="str">
        <f t="shared" si="6"/>
        <v/>
      </c>
      <c r="BG8" s="58" t="str">
        <f t="shared" si="6"/>
        <v/>
      </c>
      <c r="BH8" s="58" t="str">
        <f t="shared" si="6"/>
        <v/>
      </c>
      <c r="BI8" s="58" t="str">
        <f t="shared" ref="BI8:BO23" si="7">IF(
    $F8="",
    "",
    IF(
        $F8="マイルストーン",
        IF(DATE(YEAR(BI$5),MONTH(BI$5),DAY(BI$5))=$I8,"▲",""),
        IF(
            AND(DATE(YEAR($I8),MONTH($I8),DAY($I8))&lt;=BI$5,BI$5&lt;=$J8),
            calendarHowSpend($I8,$C8,$H8&amp;"",BI$5)/$J$3,
            ""
        )
    )
)</f>
        <v/>
      </c>
      <c r="BJ8" s="58" t="str">
        <f t="shared" si="7"/>
        <v/>
      </c>
      <c r="BK8" s="58" t="str">
        <f t="shared" si="7"/>
        <v/>
      </c>
      <c r="BL8" s="58" t="str">
        <f t="shared" si="7"/>
        <v/>
      </c>
      <c r="BM8" s="58" t="str">
        <f t="shared" si="7"/>
        <v/>
      </c>
      <c r="BN8" s="58" t="str">
        <f t="shared" si="7"/>
        <v/>
      </c>
      <c r="BO8" s="58" t="str">
        <f t="shared" si="7"/>
        <v/>
      </c>
    </row>
    <row r="9" spans="1:67" s="26" customFormat="1" ht="30" customHeight="1" x14ac:dyDescent="0.25">
      <c r="A9" s="2"/>
      <c r="B9" s="44" t="s">
        <v>15</v>
      </c>
      <c r="C9" s="45">
        <v>4</v>
      </c>
      <c r="D9" s="45">
        <v>6</v>
      </c>
      <c r="E9" s="47">
        <v>1</v>
      </c>
      <c r="F9" s="46" t="s">
        <v>28</v>
      </c>
      <c r="G9" s="46" t="s">
        <v>68</v>
      </c>
      <c r="H9" s="46" t="str">
        <f>"Calendar!A2:B367"</f>
        <v>Calendar!A2:B367</v>
      </c>
      <c r="I9" s="69">
        <v>44000</v>
      </c>
      <c r="J9" s="70">
        <f>calendarHowSpend(I9,C9,H9&amp;"")</f>
        <v>44000.166666666664</v>
      </c>
      <c r="K9" s="24"/>
      <c r="L9" s="58" t="str">
        <f t="shared" ref="L9:AA24" ca="1" si="8">IF(
    $F9="",
    "",
    IF(
        $F9="マイルストーン",
        IF(DATE(YEAR(L$5),MONTH(L$5),DAY(L$5))=$I9,"▲",""),
        IF(
            AND(DATE(YEAR($I9),MONTH($I9),DAY($I9))&lt;=L$5,L$5&lt;=$J9),
            calendarHowSpend($I9,$C9,$H9&amp;"",L$5)/$J$3,
            ""
        )
    )
)</f>
        <v/>
      </c>
      <c r="M9" s="58" t="str">
        <f t="shared" ca="1" si="4"/>
        <v/>
      </c>
      <c r="N9" s="58" t="str">
        <f t="shared" ca="1" si="4"/>
        <v/>
      </c>
      <c r="O9" s="58" t="str">
        <f t="shared" ca="1" si="4"/>
        <v/>
      </c>
      <c r="P9" s="58" t="str">
        <f t="shared" ca="1" si="4"/>
        <v/>
      </c>
      <c r="Q9" s="58" t="str">
        <f t="shared" ca="1" si="4"/>
        <v/>
      </c>
      <c r="R9" s="58" t="str">
        <f t="shared" ca="1" si="4"/>
        <v/>
      </c>
      <c r="S9" s="58" t="str">
        <f t="shared" ca="1" si="4"/>
        <v/>
      </c>
      <c r="T9" s="58" t="str">
        <f t="shared" ca="1" si="4"/>
        <v/>
      </c>
      <c r="U9" s="58" t="str">
        <f t="shared" ca="1" si="4"/>
        <v/>
      </c>
      <c r="V9" s="58" t="str">
        <f t="shared" ca="1" si="4"/>
        <v/>
      </c>
      <c r="W9" s="58" t="str">
        <f t="shared" ca="1" si="4"/>
        <v/>
      </c>
      <c r="X9" s="58" t="str">
        <f t="shared" ca="1" si="4"/>
        <v/>
      </c>
      <c r="Y9" s="58" t="str">
        <f t="shared" ca="1" si="4"/>
        <v/>
      </c>
      <c r="Z9" s="58" t="str">
        <f t="shared" ca="1" si="4"/>
        <v/>
      </c>
      <c r="AA9" s="58" t="str">
        <f t="shared" ca="1" si="4"/>
        <v/>
      </c>
      <c r="AB9" s="58" t="str">
        <f t="shared" ca="1" si="4"/>
        <v/>
      </c>
      <c r="AC9" s="58">
        <f t="shared" ca="1" si="5"/>
        <v>0.5</v>
      </c>
      <c r="AD9" s="58" t="str">
        <f t="shared" ca="1" si="5"/>
        <v/>
      </c>
      <c r="AE9" s="58" t="str">
        <f t="shared" ca="1" si="5"/>
        <v/>
      </c>
      <c r="AF9" s="58" t="str">
        <f t="shared" ca="1" si="5"/>
        <v/>
      </c>
      <c r="AG9" s="58" t="str">
        <f t="shared" ca="1" si="5"/>
        <v/>
      </c>
      <c r="AH9" s="58" t="str">
        <f t="shared" ca="1" si="5"/>
        <v/>
      </c>
      <c r="AI9" s="58" t="str">
        <f t="shared" ca="1" si="5"/>
        <v/>
      </c>
      <c r="AJ9" s="58" t="str">
        <f t="shared" ca="1" si="5"/>
        <v/>
      </c>
      <c r="AK9" s="58" t="str">
        <f t="shared" ca="1" si="5"/>
        <v/>
      </c>
      <c r="AL9" s="58" t="str">
        <f t="shared" ca="1" si="5"/>
        <v/>
      </c>
      <c r="AM9" s="58" t="str">
        <f t="shared" ca="1" si="5"/>
        <v/>
      </c>
      <c r="AN9" s="58" t="str">
        <f t="shared" ca="1" si="5"/>
        <v/>
      </c>
      <c r="AO9" s="58" t="str">
        <f t="shared" ca="1" si="5"/>
        <v/>
      </c>
      <c r="AP9" s="58" t="str">
        <f t="shared" ca="1" si="5"/>
        <v/>
      </c>
      <c r="AQ9" s="58" t="str">
        <f t="shared" ca="1" si="5"/>
        <v/>
      </c>
      <c r="AR9" s="58" t="str">
        <f t="shared" ca="1" si="5"/>
        <v/>
      </c>
      <c r="AS9" s="58" t="str">
        <f t="shared" ca="1" si="6"/>
        <v/>
      </c>
      <c r="AT9" s="58" t="str">
        <f t="shared" ca="1" si="6"/>
        <v/>
      </c>
      <c r="AU9" s="58" t="str">
        <f t="shared" ca="1" si="6"/>
        <v/>
      </c>
      <c r="AV9" s="58" t="str">
        <f t="shared" ca="1" si="6"/>
        <v/>
      </c>
      <c r="AW9" s="58" t="str">
        <f t="shared" ca="1" si="6"/>
        <v/>
      </c>
      <c r="AX9" s="58" t="str">
        <f t="shared" ca="1" si="6"/>
        <v/>
      </c>
      <c r="AY9" s="58" t="str">
        <f t="shared" ca="1" si="6"/>
        <v/>
      </c>
      <c r="AZ9" s="58" t="str">
        <f t="shared" ca="1" si="6"/>
        <v/>
      </c>
      <c r="BA9" s="58" t="str">
        <f t="shared" ca="1" si="6"/>
        <v/>
      </c>
      <c r="BB9" s="58" t="str">
        <f t="shared" ca="1" si="6"/>
        <v/>
      </c>
      <c r="BC9" s="58" t="str">
        <f t="shared" ca="1" si="6"/>
        <v/>
      </c>
      <c r="BD9" s="58" t="str">
        <f t="shared" ca="1" si="6"/>
        <v/>
      </c>
      <c r="BE9" s="58" t="str">
        <f t="shared" ca="1" si="6"/>
        <v/>
      </c>
      <c r="BF9" s="58" t="str">
        <f t="shared" ca="1" si="6"/>
        <v/>
      </c>
      <c r="BG9" s="58" t="str">
        <f t="shared" ca="1" si="6"/>
        <v/>
      </c>
      <c r="BH9" s="58" t="str">
        <f t="shared" ca="1" si="6"/>
        <v/>
      </c>
      <c r="BI9" s="58" t="str">
        <f t="shared" ca="1" si="7"/>
        <v/>
      </c>
      <c r="BJ9" s="58" t="str">
        <f t="shared" ca="1" si="7"/>
        <v/>
      </c>
      <c r="BK9" s="58" t="str">
        <f t="shared" ca="1" si="7"/>
        <v/>
      </c>
      <c r="BL9" s="58" t="str">
        <f t="shared" ca="1" si="7"/>
        <v/>
      </c>
      <c r="BM9" s="58" t="str">
        <f t="shared" ca="1" si="7"/>
        <v/>
      </c>
      <c r="BN9" s="58" t="str">
        <f t="shared" ca="1" si="7"/>
        <v/>
      </c>
      <c r="BO9" s="58" t="str">
        <f t="shared" ca="1" si="7"/>
        <v/>
      </c>
    </row>
    <row r="10" spans="1:67" s="26" customFormat="1" ht="30" customHeight="1" x14ac:dyDescent="0.25">
      <c r="A10" s="2"/>
      <c r="B10" s="48" t="s">
        <v>16</v>
      </c>
      <c r="C10" s="49">
        <v>2</v>
      </c>
      <c r="D10" s="49">
        <v>3</v>
      </c>
      <c r="E10" s="50">
        <v>1</v>
      </c>
      <c r="F10" s="42" t="s">
        <v>28</v>
      </c>
      <c r="G10" s="42" t="s">
        <v>69</v>
      </c>
      <c r="H10" s="46" t="str">
        <f>"Calendar!A2:B367"</f>
        <v>Calendar!A2:B367</v>
      </c>
      <c r="I10" s="67">
        <f>calendarAddDelta(J9,H10&amp;"")</f>
        <v>44000.166666666664</v>
      </c>
      <c r="J10" s="70">
        <f t="shared" ref="J10" si="9">calendarHowSpend(I10,C10,H10&amp;"")</f>
        <v>44000.25</v>
      </c>
      <c r="K10" s="24"/>
      <c r="L10" s="58" t="str">
        <f t="shared" ca="1" si="8"/>
        <v/>
      </c>
      <c r="M10" s="58" t="str">
        <f t="shared" ca="1" si="4"/>
        <v/>
      </c>
      <c r="N10" s="58" t="str">
        <f t="shared" ca="1" si="4"/>
        <v/>
      </c>
      <c r="O10" s="58" t="str">
        <f t="shared" ca="1" si="4"/>
        <v/>
      </c>
      <c r="P10" s="58" t="str">
        <f t="shared" ca="1" si="4"/>
        <v/>
      </c>
      <c r="Q10" s="58" t="str">
        <f t="shared" ca="1" si="4"/>
        <v/>
      </c>
      <c r="R10" s="58" t="str">
        <f t="shared" ca="1" si="4"/>
        <v/>
      </c>
      <c r="S10" s="58" t="str">
        <f t="shared" ca="1" si="4"/>
        <v/>
      </c>
      <c r="T10" s="58" t="str">
        <f t="shared" ca="1" si="4"/>
        <v/>
      </c>
      <c r="U10" s="58" t="str">
        <f t="shared" ca="1" si="4"/>
        <v/>
      </c>
      <c r="V10" s="58" t="str">
        <f t="shared" ca="1" si="4"/>
        <v/>
      </c>
      <c r="W10" s="58" t="str">
        <f t="shared" ca="1" si="4"/>
        <v/>
      </c>
      <c r="X10" s="58" t="str">
        <f t="shared" ca="1" si="4"/>
        <v/>
      </c>
      <c r="Y10" s="58" t="str">
        <f t="shared" ca="1" si="4"/>
        <v/>
      </c>
      <c r="Z10" s="58" t="str">
        <f t="shared" ca="1" si="4"/>
        <v/>
      </c>
      <c r="AA10" s="58" t="str">
        <f t="shared" ca="1" si="4"/>
        <v/>
      </c>
      <c r="AB10" s="58" t="str">
        <f t="shared" ca="1" si="4"/>
        <v/>
      </c>
      <c r="AC10" s="58">
        <f t="shared" ca="1" si="5"/>
        <v>0.25</v>
      </c>
      <c r="AD10" s="58" t="str">
        <f t="shared" ca="1" si="5"/>
        <v/>
      </c>
      <c r="AE10" s="58" t="str">
        <f t="shared" ca="1" si="5"/>
        <v/>
      </c>
      <c r="AF10" s="58" t="str">
        <f t="shared" ca="1" si="5"/>
        <v/>
      </c>
      <c r="AG10" s="58" t="str">
        <f t="shared" ca="1" si="5"/>
        <v/>
      </c>
      <c r="AH10" s="58" t="str">
        <f t="shared" ca="1" si="5"/>
        <v/>
      </c>
      <c r="AI10" s="58" t="str">
        <f t="shared" ca="1" si="5"/>
        <v/>
      </c>
      <c r="AJ10" s="58" t="str">
        <f t="shared" ca="1" si="5"/>
        <v/>
      </c>
      <c r="AK10" s="58" t="str">
        <f t="shared" ca="1" si="5"/>
        <v/>
      </c>
      <c r="AL10" s="58" t="str">
        <f t="shared" ca="1" si="5"/>
        <v/>
      </c>
      <c r="AM10" s="58" t="str">
        <f t="shared" ca="1" si="5"/>
        <v/>
      </c>
      <c r="AN10" s="58" t="str">
        <f t="shared" ca="1" si="5"/>
        <v/>
      </c>
      <c r="AO10" s="58" t="str">
        <f t="shared" ca="1" si="5"/>
        <v/>
      </c>
      <c r="AP10" s="58" t="str">
        <f t="shared" ca="1" si="5"/>
        <v/>
      </c>
      <c r="AQ10" s="58" t="str">
        <f t="shared" ca="1" si="5"/>
        <v/>
      </c>
      <c r="AR10" s="58" t="str">
        <f t="shared" ca="1" si="5"/>
        <v/>
      </c>
      <c r="AS10" s="58" t="str">
        <f t="shared" ca="1" si="6"/>
        <v/>
      </c>
      <c r="AT10" s="58" t="str">
        <f t="shared" ca="1" si="6"/>
        <v/>
      </c>
      <c r="AU10" s="58" t="str">
        <f t="shared" ca="1" si="6"/>
        <v/>
      </c>
      <c r="AV10" s="58" t="str">
        <f t="shared" ca="1" si="6"/>
        <v/>
      </c>
      <c r="AW10" s="58" t="str">
        <f t="shared" ca="1" si="6"/>
        <v/>
      </c>
      <c r="AX10" s="58" t="str">
        <f t="shared" ca="1" si="6"/>
        <v/>
      </c>
      <c r="AY10" s="58" t="str">
        <f t="shared" ca="1" si="6"/>
        <v/>
      </c>
      <c r="AZ10" s="58" t="str">
        <f t="shared" ca="1" si="6"/>
        <v/>
      </c>
      <c r="BA10" s="58" t="str">
        <f t="shared" ca="1" si="6"/>
        <v/>
      </c>
      <c r="BB10" s="58" t="str">
        <f t="shared" ca="1" si="6"/>
        <v/>
      </c>
      <c r="BC10" s="58" t="str">
        <f t="shared" ca="1" si="6"/>
        <v/>
      </c>
      <c r="BD10" s="58" t="str">
        <f t="shared" ca="1" si="6"/>
        <v/>
      </c>
      <c r="BE10" s="58" t="str">
        <f t="shared" ca="1" si="6"/>
        <v/>
      </c>
      <c r="BF10" s="58" t="str">
        <f t="shared" ca="1" si="6"/>
        <v/>
      </c>
      <c r="BG10" s="58" t="str">
        <f t="shared" ca="1" si="6"/>
        <v/>
      </c>
      <c r="BH10" s="58" t="str">
        <f t="shared" ca="1" si="6"/>
        <v/>
      </c>
      <c r="BI10" s="58" t="str">
        <f t="shared" ca="1" si="7"/>
        <v/>
      </c>
      <c r="BJ10" s="58" t="str">
        <f t="shared" ca="1" si="7"/>
        <v/>
      </c>
      <c r="BK10" s="58" t="str">
        <f t="shared" ca="1" si="7"/>
        <v/>
      </c>
      <c r="BL10" s="58" t="str">
        <f t="shared" ca="1" si="7"/>
        <v/>
      </c>
      <c r="BM10" s="58" t="str">
        <f t="shared" ca="1" si="7"/>
        <v/>
      </c>
      <c r="BN10" s="58" t="str">
        <f t="shared" ca="1" si="7"/>
        <v/>
      </c>
      <c r="BO10" s="58" t="str">
        <f t="shared" ca="1" si="7"/>
        <v/>
      </c>
    </row>
    <row r="11" spans="1:67" s="26" customFormat="1" ht="30" customHeight="1" x14ac:dyDescent="0.25">
      <c r="A11" s="23"/>
      <c r="B11" s="44" t="s">
        <v>17</v>
      </c>
      <c r="C11" s="45">
        <v>16</v>
      </c>
      <c r="D11" s="45">
        <v>12</v>
      </c>
      <c r="E11" s="47">
        <v>0.9</v>
      </c>
      <c r="F11" s="46" t="s">
        <v>28</v>
      </c>
      <c r="G11" s="46" t="s">
        <v>70</v>
      </c>
      <c r="H11" s="46" t="str">
        <f>"Calendar!A2:B367"</f>
        <v>Calendar!A2:B367</v>
      </c>
      <c r="I11" s="67">
        <f t="shared" ref="I11:I13" si="10">calendarAddDelta(J10,H11&amp;"")</f>
        <v>44000.25</v>
      </c>
      <c r="J11" s="70">
        <f t="shared" ref="J11:J25" si="11">calendarHowSpend(I11,C11,H11&amp;"")</f>
        <v>44004.25</v>
      </c>
      <c r="K11" s="24"/>
      <c r="L11" s="58" t="str">
        <f t="shared" ca="1" si="8"/>
        <v/>
      </c>
      <c r="M11" s="58" t="str">
        <f t="shared" ca="1" si="4"/>
        <v/>
      </c>
      <c r="N11" s="58" t="str">
        <f t="shared" ca="1" si="4"/>
        <v/>
      </c>
      <c r="O11" s="58" t="str">
        <f t="shared" ca="1" si="4"/>
        <v/>
      </c>
      <c r="P11" s="58" t="str">
        <f t="shared" ca="1" si="4"/>
        <v/>
      </c>
      <c r="Q11" s="58" t="str">
        <f t="shared" ca="1" si="4"/>
        <v/>
      </c>
      <c r="R11" s="58" t="str">
        <f t="shared" ca="1" si="4"/>
        <v/>
      </c>
      <c r="S11" s="58" t="str">
        <f t="shared" ca="1" si="4"/>
        <v/>
      </c>
      <c r="T11" s="58" t="str">
        <f t="shared" ca="1" si="4"/>
        <v/>
      </c>
      <c r="U11" s="58" t="str">
        <f t="shared" ca="1" si="4"/>
        <v/>
      </c>
      <c r="V11" s="58" t="str">
        <f t="shared" ca="1" si="4"/>
        <v/>
      </c>
      <c r="W11" s="58" t="str">
        <f t="shared" ca="1" si="4"/>
        <v/>
      </c>
      <c r="X11" s="58" t="str">
        <f t="shared" ca="1" si="4"/>
        <v/>
      </c>
      <c r="Y11" s="58" t="str">
        <f t="shared" ca="1" si="4"/>
        <v/>
      </c>
      <c r="Z11" s="58" t="str">
        <f t="shared" ca="1" si="4"/>
        <v/>
      </c>
      <c r="AA11" s="58" t="str">
        <f t="shared" ca="1" si="4"/>
        <v/>
      </c>
      <c r="AB11" s="58" t="str">
        <f t="shared" ca="1" si="4"/>
        <v/>
      </c>
      <c r="AC11" s="58">
        <f t="shared" ca="1" si="5"/>
        <v>0.25</v>
      </c>
      <c r="AD11" s="58">
        <f t="shared" ca="1" si="5"/>
        <v>1.25</v>
      </c>
      <c r="AE11" s="58">
        <f t="shared" ca="1" si="5"/>
        <v>1.25</v>
      </c>
      <c r="AF11" s="58">
        <f t="shared" ca="1" si="5"/>
        <v>1.25</v>
      </c>
      <c r="AG11" s="58">
        <f t="shared" ca="1" si="5"/>
        <v>2</v>
      </c>
      <c r="AH11" s="58" t="str">
        <f t="shared" ca="1" si="5"/>
        <v/>
      </c>
      <c r="AI11" s="58" t="str">
        <f t="shared" ca="1" si="5"/>
        <v/>
      </c>
      <c r="AJ11" s="58" t="str">
        <f t="shared" ca="1" si="5"/>
        <v/>
      </c>
      <c r="AK11" s="58" t="str">
        <f t="shared" ca="1" si="5"/>
        <v/>
      </c>
      <c r="AL11" s="58" t="str">
        <f t="shared" ca="1" si="5"/>
        <v/>
      </c>
      <c r="AM11" s="58" t="str">
        <f t="shared" ca="1" si="5"/>
        <v/>
      </c>
      <c r="AN11" s="58" t="str">
        <f t="shared" ca="1" si="5"/>
        <v/>
      </c>
      <c r="AO11" s="58" t="str">
        <f t="shared" ca="1" si="5"/>
        <v/>
      </c>
      <c r="AP11" s="58" t="str">
        <f t="shared" ca="1" si="5"/>
        <v/>
      </c>
      <c r="AQ11" s="58" t="str">
        <f t="shared" ca="1" si="5"/>
        <v/>
      </c>
      <c r="AR11" s="58" t="str">
        <f t="shared" ca="1" si="5"/>
        <v/>
      </c>
      <c r="AS11" s="58" t="str">
        <f t="shared" ca="1" si="6"/>
        <v/>
      </c>
      <c r="AT11" s="58" t="str">
        <f t="shared" ca="1" si="6"/>
        <v/>
      </c>
      <c r="AU11" s="58" t="str">
        <f t="shared" ca="1" si="6"/>
        <v/>
      </c>
      <c r="AV11" s="58" t="str">
        <f t="shared" ca="1" si="6"/>
        <v/>
      </c>
      <c r="AW11" s="58" t="str">
        <f t="shared" ca="1" si="6"/>
        <v/>
      </c>
      <c r="AX11" s="58" t="str">
        <f t="shared" ca="1" si="6"/>
        <v/>
      </c>
      <c r="AY11" s="58" t="str">
        <f t="shared" ca="1" si="6"/>
        <v/>
      </c>
      <c r="AZ11" s="58" t="str">
        <f t="shared" ca="1" si="6"/>
        <v/>
      </c>
      <c r="BA11" s="58" t="str">
        <f t="shared" ca="1" si="6"/>
        <v/>
      </c>
      <c r="BB11" s="58" t="str">
        <f t="shared" ca="1" si="6"/>
        <v/>
      </c>
      <c r="BC11" s="58" t="str">
        <f t="shared" ca="1" si="6"/>
        <v/>
      </c>
      <c r="BD11" s="58" t="str">
        <f t="shared" ca="1" si="6"/>
        <v/>
      </c>
      <c r="BE11" s="58" t="str">
        <f t="shared" ca="1" si="6"/>
        <v/>
      </c>
      <c r="BF11" s="58" t="str">
        <f t="shared" ca="1" si="6"/>
        <v/>
      </c>
      <c r="BG11" s="58" t="str">
        <f t="shared" ca="1" si="6"/>
        <v/>
      </c>
      <c r="BH11" s="58" t="str">
        <f t="shared" ca="1" si="6"/>
        <v/>
      </c>
      <c r="BI11" s="58" t="str">
        <f t="shared" ca="1" si="7"/>
        <v/>
      </c>
      <c r="BJ11" s="58" t="str">
        <f t="shared" ca="1" si="7"/>
        <v/>
      </c>
      <c r="BK11" s="58" t="str">
        <f t="shared" ca="1" si="7"/>
        <v/>
      </c>
      <c r="BL11" s="58" t="str">
        <f t="shared" ca="1" si="7"/>
        <v/>
      </c>
      <c r="BM11" s="58" t="str">
        <f t="shared" ca="1" si="7"/>
        <v/>
      </c>
      <c r="BN11" s="58" t="str">
        <f t="shared" ca="1" si="7"/>
        <v/>
      </c>
      <c r="BO11" s="58" t="str">
        <f t="shared" ca="1" si="7"/>
        <v/>
      </c>
    </row>
    <row r="12" spans="1:67" s="26" customFormat="1" ht="30" customHeight="1" x14ac:dyDescent="0.25">
      <c r="A12" s="23"/>
      <c r="B12" s="48" t="s">
        <v>18</v>
      </c>
      <c r="C12" s="49">
        <v>2.5</v>
      </c>
      <c r="D12" s="49"/>
      <c r="E12" s="50">
        <v>0</v>
      </c>
      <c r="F12" s="42" t="s">
        <v>28</v>
      </c>
      <c r="G12" s="42"/>
      <c r="H12" s="46" t="str">
        <f>"Calendar!A2:B367"</f>
        <v>Calendar!A2:B367</v>
      </c>
      <c r="I12" s="67">
        <f t="shared" si="10"/>
        <v>44004.25</v>
      </c>
      <c r="J12" s="70">
        <f t="shared" si="11"/>
        <v>44005.020833333336</v>
      </c>
      <c r="K12" s="24"/>
      <c r="L12" s="58" t="str">
        <f t="shared" ca="1" si="8"/>
        <v/>
      </c>
      <c r="M12" s="58" t="str">
        <f t="shared" ca="1" si="4"/>
        <v/>
      </c>
      <c r="N12" s="58" t="str">
        <f t="shared" ca="1" si="4"/>
        <v/>
      </c>
      <c r="O12" s="58" t="str">
        <f t="shared" ca="1" si="4"/>
        <v/>
      </c>
      <c r="P12" s="58" t="str">
        <f t="shared" ca="1" si="4"/>
        <v/>
      </c>
      <c r="Q12" s="58" t="str">
        <f t="shared" ca="1" si="4"/>
        <v/>
      </c>
      <c r="R12" s="58" t="str">
        <f t="shared" ca="1" si="4"/>
        <v/>
      </c>
      <c r="S12" s="58" t="str">
        <f t="shared" ca="1" si="4"/>
        <v/>
      </c>
      <c r="T12" s="58" t="str">
        <f t="shared" ca="1" si="4"/>
        <v/>
      </c>
      <c r="U12" s="58" t="str">
        <f t="shared" ca="1" si="4"/>
        <v/>
      </c>
      <c r="V12" s="58" t="str">
        <f t="shared" ca="1" si="4"/>
        <v/>
      </c>
      <c r="W12" s="58" t="str">
        <f t="shared" ca="1" si="4"/>
        <v/>
      </c>
      <c r="X12" s="58" t="str">
        <f t="shared" ca="1" si="4"/>
        <v/>
      </c>
      <c r="Y12" s="58" t="str">
        <f t="shared" ca="1" si="4"/>
        <v/>
      </c>
      <c r="Z12" s="58" t="str">
        <f t="shared" ca="1" si="4"/>
        <v/>
      </c>
      <c r="AA12" s="58" t="str">
        <f t="shared" ca="1" si="4"/>
        <v/>
      </c>
      <c r="AB12" s="58" t="str">
        <f t="shared" ca="1" si="4"/>
        <v/>
      </c>
      <c r="AC12" s="58" t="str">
        <f t="shared" ca="1" si="5"/>
        <v/>
      </c>
      <c r="AD12" s="58" t="str">
        <f t="shared" ca="1" si="5"/>
        <v/>
      </c>
      <c r="AE12" s="58" t="str">
        <f t="shared" ca="1" si="5"/>
        <v/>
      </c>
      <c r="AF12" s="58" t="str">
        <f t="shared" ca="1" si="5"/>
        <v/>
      </c>
      <c r="AG12" s="58">
        <f t="shared" ca="1" si="5"/>
        <v>0.25</v>
      </c>
      <c r="AH12" s="58">
        <f t="shared" ca="1" si="5"/>
        <v>0.3125</v>
      </c>
      <c r="AI12" s="58" t="str">
        <f t="shared" ca="1" si="5"/>
        <v/>
      </c>
      <c r="AJ12" s="58" t="str">
        <f t="shared" ca="1" si="5"/>
        <v/>
      </c>
      <c r="AK12" s="58" t="str">
        <f t="shared" ca="1" si="5"/>
        <v/>
      </c>
      <c r="AL12" s="58" t="str">
        <f t="shared" ca="1" si="5"/>
        <v/>
      </c>
      <c r="AM12" s="58" t="str">
        <f t="shared" ca="1" si="5"/>
        <v/>
      </c>
      <c r="AN12" s="58" t="str">
        <f t="shared" ca="1" si="5"/>
        <v/>
      </c>
      <c r="AO12" s="58" t="str">
        <f t="shared" ca="1" si="5"/>
        <v/>
      </c>
      <c r="AP12" s="58" t="str">
        <f t="shared" ca="1" si="5"/>
        <v/>
      </c>
      <c r="AQ12" s="58" t="str">
        <f t="shared" ca="1" si="5"/>
        <v/>
      </c>
      <c r="AR12" s="58" t="str">
        <f t="shared" ca="1" si="5"/>
        <v/>
      </c>
      <c r="AS12" s="58" t="str">
        <f t="shared" ca="1" si="6"/>
        <v/>
      </c>
      <c r="AT12" s="58" t="str">
        <f t="shared" ca="1" si="6"/>
        <v/>
      </c>
      <c r="AU12" s="58" t="str">
        <f t="shared" ca="1" si="6"/>
        <v/>
      </c>
      <c r="AV12" s="58" t="str">
        <f t="shared" ca="1" si="6"/>
        <v/>
      </c>
      <c r="AW12" s="58" t="str">
        <f t="shared" ca="1" si="6"/>
        <v/>
      </c>
      <c r="AX12" s="58" t="str">
        <f t="shared" ca="1" si="6"/>
        <v/>
      </c>
      <c r="AY12" s="58" t="str">
        <f t="shared" ca="1" si="6"/>
        <v/>
      </c>
      <c r="AZ12" s="58" t="str">
        <f t="shared" ca="1" si="6"/>
        <v/>
      </c>
      <c r="BA12" s="58" t="str">
        <f t="shared" ca="1" si="6"/>
        <v/>
      </c>
      <c r="BB12" s="58" t="str">
        <f t="shared" ca="1" si="6"/>
        <v/>
      </c>
      <c r="BC12" s="58" t="str">
        <f t="shared" ca="1" si="6"/>
        <v/>
      </c>
      <c r="BD12" s="58" t="str">
        <f t="shared" ca="1" si="6"/>
        <v/>
      </c>
      <c r="BE12" s="58" t="str">
        <f t="shared" ca="1" si="6"/>
        <v/>
      </c>
      <c r="BF12" s="58" t="str">
        <f t="shared" ca="1" si="6"/>
        <v/>
      </c>
      <c r="BG12" s="58" t="str">
        <f t="shared" ca="1" si="6"/>
        <v/>
      </c>
      <c r="BH12" s="58" t="str">
        <f t="shared" ca="1" si="6"/>
        <v/>
      </c>
      <c r="BI12" s="58" t="str">
        <f t="shared" ca="1" si="7"/>
        <v/>
      </c>
      <c r="BJ12" s="58" t="str">
        <f t="shared" ca="1" si="7"/>
        <v/>
      </c>
      <c r="BK12" s="58" t="str">
        <f t="shared" ca="1" si="7"/>
        <v/>
      </c>
      <c r="BL12" s="58" t="str">
        <f t="shared" ca="1" si="7"/>
        <v/>
      </c>
      <c r="BM12" s="58" t="str">
        <f t="shared" ca="1" si="7"/>
        <v/>
      </c>
      <c r="BN12" s="58" t="str">
        <f t="shared" ca="1" si="7"/>
        <v/>
      </c>
      <c r="BO12" s="58" t="str">
        <f t="shared" ca="1" si="7"/>
        <v/>
      </c>
    </row>
    <row r="13" spans="1:67" s="26" customFormat="1" ht="30" customHeight="1" x14ac:dyDescent="0.25">
      <c r="A13" s="23"/>
      <c r="B13" s="44" t="s">
        <v>19</v>
      </c>
      <c r="C13" s="45">
        <v>2.5</v>
      </c>
      <c r="D13" s="45">
        <v>1</v>
      </c>
      <c r="E13" s="47">
        <v>0.5</v>
      </c>
      <c r="F13" s="46" t="s">
        <v>28</v>
      </c>
      <c r="G13" s="46"/>
      <c r="H13" s="46" t="str">
        <f>"Calendar!A2:B367"</f>
        <v>Calendar!A2:B367</v>
      </c>
      <c r="I13" s="67">
        <f t="shared" si="10"/>
        <v>44005.020833333336</v>
      </c>
      <c r="J13" s="70">
        <f t="shared" si="11"/>
        <v>44005.125</v>
      </c>
      <c r="K13" s="24"/>
      <c r="L13" s="58" t="str">
        <f t="shared" ca="1" si="8"/>
        <v/>
      </c>
      <c r="M13" s="58" t="str">
        <f t="shared" ca="1" si="4"/>
        <v/>
      </c>
      <c r="N13" s="58" t="str">
        <f t="shared" ca="1" si="4"/>
        <v/>
      </c>
      <c r="O13" s="58" t="str">
        <f t="shared" ca="1" si="4"/>
        <v/>
      </c>
      <c r="P13" s="58" t="str">
        <f t="shared" ca="1" si="4"/>
        <v/>
      </c>
      <c r="Q13" s="58" t="str">
        <f t="shared" ca="1" si="4"/>
        <v/>
      </c>
      <c r="R13" s="58" t="str">
        <f t="shared" ca="1" si="4"/>
        <v/>
      </c>
      <c r="S13" s="58" t="str">
        <f t="shared" ca="1" si="4"/>
        <v/>
      </c>
      <c r="T13" s="58" t="str">
        <f t="shared" ca="1" si="4"/>
        <v/>
      </c>
      <c r="U13" s="58" t="str">
        <f t="shared" ca="1" si="4"/>
        <v/>
      </c>
      <c r="V13" s="58" t="str">
        <f t="shared" ca="1" si="4"/>
        <v/>
      </c>
      <c r="W13" s="58" t="str">
        <f t="shared" ca="1" si="4"/>
        <v/>
      </c>
      <c r="X13" s="58" t="str">
        <f t="shared" ca="1" si="4"/>
        <v/>
      </c>
      <c r="Y13" s="58" t="str">
        <f t="shared" ca="1" si="4"/>
        <v/>
      </c>
      <c r="Z13" s="58" t="str">
        <f t="shared" ca="1" si="4"/>
        <v/>
      </c>
      <c r="AA13" s="58" t="str">
        <f t="shared" ca="1" si="4"/>
        <v/>
      </c>
      <c r="AB13" s="58" t="str">
        <f t="shared" ca="1" si="4"/>
        <v/>
      </c>
      <c r="AC13" s="58" t="str">
        <f t="shared" ca="1" si="5"/>
        <v/>
      </c>
      <c r="AD13" s="58" t="str">
        <f t="shared" ca="1" si="5"/>
        <v/>
      </c>
      <c r="AE13" s="58" t="str">
        <f t="shared" ca="1" si="5"/>
        <v/>
      </c>
      <c r="AF13" s="58" t="str">
        <f t="shared" ca="1" si="5"/>
        <v/>
      </c>
      <c r="AG13" s="58" t="str">
        <f t="shared" ca="1" si="5"/>
        <v/>
      </c>
      <c r="AH13" s="58">
        <f t="shared" ca="1" si="5"/>
        <v>0.3125</v>
      </c>
      <c r="AI13" s="58" t="str">
        <f t="shared" ca="1" si="5"/>
        <v/>
      </c>
      <c r="AJ13" s="58" t="str">
        <f t="shared" ca="1" si="5"/>
        <v/>
      </c>
      <c r="AK13" s="58" t="str">
        <f t="shared" ca="1" si="5"/>
        <v/>
      </c>
      <c r="AL13" s="58" t="str">
        <f t="shared" ca="1" si="5"/>
        <v/>
      </c>
      <c r="AM13" s="58" t="str">
        <f t="shared" ca="1" si="5"/>
        <v/>
      </c>
      <c r="AN13" s="58" t="str">
        <f t="shared" ca="1" si="5"/>
        <v/>
      </c>
      <c r="AO13" s="58" t="str">
        <f t="shared" ca="1" si="5"/>
        <v/>
      </c>
      <c r="AP13" s="58" t="str">
        <f t="shared" ca="1" si="5"/>
        <v/>
      </c>
      <c r="AQ13" s="58" t="str">
        <f t="shared" ca="1" si="5"/>
        <v/>
      </c>
      <c r="AR13" s="58" t="str">
        <f t="shared" ca="1" si="5"/>
        <v/>
      </c>
      <c r="AS13" s="58" t="str">
        <f t="shared" ca="1" si="6"/>
        <v/>
      </c>
      <c r="AT13" s="58" t="str">
        <f t="shared" ca="1" si="6"/>
        <v/>
      </c>
      <c r="AU13" s="58" t="str">
        <f t="shared" ca="1" si="6"/>
        <v/>
      </c>
      <c r="AV13" s="58" t="str">
        <f t="shared" ca="1" si="6"/>
        <v/>
      </c>
      <c r="AW13" s="58" t="str">
        <f t="shared" ca="1" si="6"/>
        <v/>
      </c>
      <c r="AX13" s="58" t="str">
        <f t="shared" ca="1" si="6"/>
        <v/>
      </c>
      <c r="AY13" s="58" t="str">
        <f t="shared" ca="1" si="6"/>
        <v/>
      </c>
      <c r="AZ13" s="58" t="str">
        <f t="shared" ca="1" si="6"/>
        <v/>
      </c>
      <c r="BA13" s="58" t="str">
        <f t="shared" ca="1" si="6"/>
        <v/>
      </c>
      <c r="BB13" s="58" t="str">
        <f t="shared" ca="1" si="6"/>
        <v/>
      </c>
      <c r="BC13" s="58" t="str">
        <f t="shared" ca="1" si="6"/>
        <v/>
      </c>
      <c r="BD13" s="58" t="str">
        <f t="shared" ca="1" si="6"/>
        <v/>
      </c>
      <c r="BE13" s="58" t="str">
        <f t="shared" ca="1" si="6"/>
        <v/>
      </c>
      <c r="BF13" s="58" t="str">
        <f t="shared" ca="1" si="6"/>
        <v/>
      </c>
      <c r="BG13" s="58" t="str">
        <f t="shared" ca="1" si="6"/>
        <v/>
      </c>
      <c r="BH13" s="58" t="str">
        <f t="shared" ca="1" si="6"/>
        <v/>
      </c>
      <c r="BI13" s="58" t="str">
        <f t="shared" ca="1" si="7"/>
        <v/>
      </c>
      <c r="BJ13" s="58" t="str">
        <f t="shared" ca="1" si="7"/>
        <v/>
      </c>
      <c r="BK13" s="58" t="str">
        <f t="shared" ca="1" si="7"/>
        <v/>
      </c>
      <c r="BL13" s="58" t="str">
        <f t="shared" ca="1" si="7"/>
        <v/>
      </c>
      <c r="BM13" s="58" t="str">
        <f t="shared" ca="1" si="7"/>
        <v/>
      </c>
      <c r="BN13" s="58" t="str">
        <f t="shared" ca="1" si="7"/>
        <v/>
      </c>
      <c r="BO13" s="58" t="str">
        <f t="shared" ca="1" si="7"/>
        <v/>
      </c>
    </row>
    <row r="14" spans="1:67" s="26" customFormat="1" ht="30" customHeight="1" x14ac:dyDescent="0.25">
      <c r="A14" s="2"/>
      <c r="B14" s="40" t="s">
        <v>20</v>
      </c>
      <c r="C14" s="41"/>
      <c r="D14" s="41"/>
      <c r="E14" s="43"/>
      <c r="F14" s="42"/>
      <c r="G14" s="42"/>
      <c r="H14" s="42"/>
      <c r="I14" s="67"/>
      <c r="J14" s="68"/>
      <c r="K14" s="24"/>
      <c r="L14" s="58" t="str">
        <f t="shared" si="8"/>
        <v/>
      </c>
      <c r="M14" s="58" t="str">
        <f t="shared" si="4"/>
        <v/>
      </c>
      <c r="N14" s="58" t="str">
        <f t="shared" si="4"/>
        <v/>
      </c>
      <c r="O14" s="58" t="str">
        <f t="shared" si="4"/>
        <v/>
      </c>
      <c r="P14" s="58" t="str">
        <f t="shared" si="4"/>
        <v/>
      </c>
      <c r="Q14" s="58" t="str">
        <f t="shared" si="4"/>
        <v/>
      </c>
      <c r="R14" s="58" t="str">
        <f t="shared" si="4"/>
        <v/>
      </c>
      <c r="S14" s="58" t="str">
        <f t="shared" si="4"/>
        <v/>
      </c>
      <c r="T14" s="58" t="str">
        <f t="shared" si="4"/>
        <v/>
      </c>
      <c r="U14" s="58" t="str">
        <f t="shared" si="4"/>
        <v/>
      </c>
      <c r="V14" s="58" t="str">
        <f t="shared" si="4"/>
        <v/>
      </c>
      <c r="W14" s="58" t="str">
        <f t="shared" si="4"/>
        <v/>
      </c>
      <c r="X14" s="58" t="str">
        <f t="shared" si="4"/>
        <v/>
      </c>
      <c r="Y14" s="58" t="str">
        <f t="shared" si="4"/>
        <v/>
      </c>
      <c r="Z14" s="58" t="str">
        <f t="shared" si="4"/>
        <v/>
      </c>
      <c r="AA14" s="58" t="str">
        <f t="shared" si="4"/>
        <v/>
      </c>
      <c r="AB14" s="58" t="str">
        <f t="shared" si="4"/>
        <v/>
      </c>
      <c r="AC14" s="58" t="str">
        <f t="shared" si="5"/>
        <v/>
      </c>
      <c r="AD14" s="58" t="str">
        <f t="shared" si="5"/>
        <v/>
      </c>
      <c r="AE14" s="58" t="str">
        <f t="shared" si="5"/>
        <v/>
      </c>
      <c r="AF14" s="58" t="str">
        <f t="shared" si="5"/>
        <v/>
      </c>
      <c r="AG14" s="58" t="str">
        <f t="shared" si="5"/>
        <v/>
      </c>
      <c r="AH14" s="58" t="str">
        <f t="shared" si="5"/>
        <v/>
      </c>
      <c r="AI14" s="58" t="str">
        <f t="shared" si="5"/>
        <v/>
      </c>
      <c r="AJ14" s="58" t="str">
        <f t="shared" si="5"/>
        <v/>
      </c>
      <c r="AK14" s="58" t="str">
        <f t="shared" si="5"/>
        <v/>
      </c>
      <c r="AL14" s="58" t="str">
        <f t="shared" si="5"/>
        <v/>
      </c>
      <c r="AM14" s="58" t="str">
        <f t="shared" si="5"/>
        <v/>
      </c>
      <c r="AN14" s="58" t="str">
        <f t="shared" si="5"/>
        <v/>
      </c>
      <c r="AO14" s="58" t="str">
        <f t="shared" si="5"/>
        <v/>
      </c>
      <c r="AP14" s="58" t="str">
        <f t="shared" si="5"/>
        <v/>
      </c>
      <c r="AQ14" s="58" t="str">
        <f t="shared" si="5"/>
        <v/>
      </c>
      <c r="AR14" s="58" t="str">
        <f t="shared" si="5"/>
        <v/>
      </c>
      <c r="AS14" s="58" t="str">
        <f t="shared" si="6"/>
        <v/>
      </c>
      <c r="AT14" s="58" t="str">
        <f t="shared" si="6"/>
        <v/>
      </c>
      <c r="AU14" s="58" t="str">
        <f t="shared" si="6"/>
        <v/>
      </c>
      <c r="AV14" s="58" t="str">
        <f t="shared" si="6"/>
        <v/>
      </c>
      <c r="AW14" s="58" t="str">
        <f t="shared" si="6"/>
        <v/>
      </c>
      <c r="AX14" s="58" t="str">
        <f t="shared" si="6"/>
        <v/>
      </c>
      <c r="AY14" s="58" t="str">
        <f t="shared" si="6"/>
        <v/>
      </c>
      <c r="AZ14" s="58" t="str">
        <f t="shared" si="6"/>
        <v/>
      </c>
      <c r="BA14" s="58" t="str">
        <f t="shared" si="6"/>
        <v/>
      </c>
      <c r="BB14" s="58" t="str">
        <f t="shared" si="6"/>
        <v/>
      </c>
      <c r="BC14" s="58" t="str">
        <f t="shared" si="6"/>
        <v/>
      </c>
      <c r="BD14" s="58" t="str">
        <f t="shared" si="6"/>
        <v/>
      </c>
      <c r="BE14" s="58" t="str">
        <f t="shared" si="6"/>
        <v/>
      </c>
      <c r="BF14" s="58" t="str">
        <f t="shared" si="6"/>
        <v/>
      </c>
      <c r="BG14" s="58" t="str">
        <f t="shared" si="6"/>
        <v/>
      </c>
      <c r="BH14" s="58" t="str">
        <f t="shared" si="6"/>
        <v/>
      </c>
      <c r="BI14" s="58" t="str">
        <f t="shared" si="7"/>
        <v/>
      </c>
      <c r="BJ14" s="58" t="str">
        <f t="shared" si="7"/>
        <v/>
      </c>
      <c r="BK14" s="58" t="str">
        <f t="shared" si="7"/>
        <v/>
      </c>
      <c r="BL14" s="58" t="str">
        <f t="shared" si="7"/>
        <v/>
      </c>
      <c r="BM14" s="58" t="str">
        <f t="shared" si="7"/>
        <v/>
      </c>
      <c r="BN14" s="58" t="str">
        <f t="shared" si="7"/>
        <v/>
      </c>
      <c r="BO14" s="58" t="str">
        <f t="shared" si="7"/>
        <v/>
      </c>
    </row>
    <row r="15" spans="1:67" s="26" customFormat="1" ht="30" customHeight="1" x14ac:dyDescent="0.25">
      <c r="A15" s="2"/>
      <c r="B15" s="44" t="s">
        <v>15</v>
      </c>
      <c r="C15" s="45">
        <v>104</v>
      </c>
      <c r="D15" s="45">
        <v>95</v>
      </c>
      <c r="E15" s="47">
        <v>0.95</v>
      </c>
      <c r="F15" s="46" t="s">
        <v>27</v>
      </c>
      <c r="G15" s="46"/>
      <c r="H15" s="46" t="str">
        <f>"'Calendar (土日だけ休み)'!A2:B367"</f>
        <v>'Calendar (土日だけ休み)'!A2:B367</v>
      </c>
      <c r="I15" s="69">
        <v>43985</v>
      </c>
      <c r="J15" s="70">
        <f t="shared" si="11"/>
        <v>44001.333333333336</v>
      </c>
      <c r="K15" s="24"/>
      <c r="L15" s="58" t="str">
        <f t="shared" ca="1" si="8"/>
        <v/>
      </c>
      <c r="M15" s="58" t="str">
        <f t="shared" ca="1" si="4"/>
        <v/>
      </c>
      <c r="N15" s="58">
        <f t="shared" ca="1" si="4"/>
        <v>1</v>
      </c>
      <c r="O15" s="58">
        <f t="shared" ca="1" si="4"/>
        <v>2</v>
      </c>
      <c r="P15" s="58">
        <f t="shared" ca="1" si="4"/>
        <v>3</v>
      </c>
      <c r="Q15" s="58">
        <f t="shared" ca="1" si="4"/>
        <v>3</v>
      </c>
      <c r="R15" s="58">
        <f t="shared" ca="1" si="4"/>
        <v>3</v>
      </c>
      <c r="S15" s="58">
        <f t="shared" ca="1" si="4"/>
        <v>4</v>
      </c>
      <c r="T15" s="58">
        <f t="shared" ca="1" si="4"/>
        <v>5</v>
      </c>
      <c r="U15" s="58">
        <f t="shared" ca="1" si="4"/>
        <v>6</v>
      </c>
      <c r="V15" s="58">
        <f t="shared" ca="1" si="4"/>
        <v>7</v>
      </c>
      <c r="W15" s="58">
        <f t="shared" ca="1" si="4"/>
        <v>8</v>
      </c>
      <c r="X15" s="58">
        <f t="shared" ca="1" si="4"/>
        <v>8</v>
      </c>
      <c r="Y15" s="58">
        <f t="shared" ca="1" si="4"/>
        <v>8</v>
      </c>
      <c r="Z15" s="58">
        <f t="shared" ca="1" si="4"/>
        <v>9</v>
      </c>
      <c r="AA15" s="58">
        <f t="shared" ca="1" si="4"/>
        <v>10</v>
      </c>
      <c r="AB15" s="58">
        <f t="shared" ca="1" si="4"/>
        <v>11</v>
      </c>
      <c r="AC15" s="58">
        <f t="shared" ca="1" si="5"/>
        <v>12</v>
      </c>
      <c r="AD15" s="58">
        <f t="shared" ca="1" si="5"/>
        <v>13</v>
      </c>
      <c r="AE15" s="58" t="str">
        <f t="shared" ca="1" si="5"/>
        <v/>
      </c>
      <c r="AF15" s="58" t="str">
        <f t="shared" ca="1" si="5"/>
        <v/>
      </c>
      <c r="AG15" s="58" t="str">
        <f t="shared" ca="1" si="5"/>
        <v/>
      </c>
      <c r="AH15" s="58" t="str">
        <f t="shared" ca="1" si="5"/>
        <v/>
      </c>
      <c r="AI15" s="58" t="str">
        <f t="shared" ca="1" si="5"/>
        <v/>
      </c>
      <c r="AJ15" s="58" t="str">
        <f t="shared" ca="1" si="5"/>
        <v/>
      </c>
      <c r="AK15" s="58" t="str">
        <f t="shared" ca="1" si="5"/>
        <v/>
      </c>
      <c r="AL15" s="58" t="str">
        <f t="shared" ca="1" si="5"/>
        <v/>
      </c>
      <c r="AM15" s="58" t="str">
        <f t="shared" ca="1" si="5"/>
        <v/>
      </c>
      <c r="AN15" s="58" t="str">
        <f t="shared" ca="1" si="5"/>
        <v/>
      </c>
      <c r="AO15" s="58" t="str">
        <f t="shared" ca="1" si="5"/>
        <v/>
      </c>
      <c r="AP15" s="58" t="str">
        <f t="shared" ca="1" si="5"/>
        <v/>
      </c>
      <c r="AQ15" s="58" t="str">
        <f t="shared" ca="1" si="5"/>
        <v/>
      </c>
      <c r="AR15" s="58" t="str">
        <f t="shared" ca="1" si="5"/>
        <v/>
      </c>
      <c r="AS15" s="58" t="str">
        <f t="shared" ca="1" si="6"/>
        <v/>
      </c>
      <c r="AT15" s="58" t="str">
        <f t="shared" ca="1" si="6"/>
        <v/>
      </c>
      <c r="AU15" s="58" t="str">
        <f t="shared" ca="1" si="6"/>
        <v/>
      </c>
      <c r="AV15" s="58" t="str">
        <f t="shared" ca="1" si="6"/>
        <v/>
      </c>
      <c r="AW15" s="58" t="str">
        <f t="shared" ca="1" si="6"/>
        <v/>
      </c>
      <c r="AX15" s="58" t="str">
        <f t="shared" ca="1" si="6"/>
        <v/>
      </c>
      <c r="AY15" s="58" t="str">
        <f t="shared" ca="1" si="6"/>
        <v/>
      </c>
      <c r="AZ15" s="58" t="str">
        <f t="shared" ca="1" si="6"/>
        <v/>
      </c>
      <c r="BA15" s="58" t="str">
        <f t="shared" ca="1" si="6"/>
        <v/>
      </c>
      <c r="BB15" s="58" t="str">
        <f t="shared" ca="1" si="6"/>
        <v/>
      </c>
      <c r="BC15" s="58" t="str">
        <f t="shared" ca="1" si="6"/>
        <v/>
      </c>
      <c r="BD15" s="58" t="str">
        <f t="shared" ca="1" si="6"/>
        <v/>
      </c>
      <c r="BE15" s="58" t="str">
        <f t="shared" ca="1" si="6"/>
        <v/>
      </c>
      <c r="BF15" s="58" t="str">
        <f t="shared" ca="1" si="6"/>
        <v/>
      </c>
      <c r="BG15" s="58" t="str">
        <f t="shared" ca="1" si="6"/>
        <v/>
      </c>
      <c r="BH15" s="58" t="str">
        <f t="shared" ca="1" si="6"/>
        <v/>
      </c>
      <c r="BI15" s="58" t="str">
        <f t="shared" ca="1" si="7"/>
        <v/>
      </c>
      <c r="BJ15" s="58" t="str">
        <f t="shared" ca="1" si="7"/>
        <v/>
      </c>
      <c r="BK15" s="58" t="str">
        <f t="shared" ca="1" si="7"/>
        <v/>
      </c>
      <c r="BL15" s="58" t="str">
        <f t="shared" ca="1" si="7"/>
        <v/>
      </c>
      <c r="BM15" s="58" t="str">
        <f t="shared" ca="1" si="7"/>
        <v/>
      </c>
      <c r="BN15" s="58" t="str">
        <f t="shared" ca="1" si="7"/>
        <v/>
      </c>
      <c r="BO15" s="58" t="str">
        <f t="shared" ca="1" si="7"/>
        <v/>
      </c>
    </row>
    <row r="16" spans="1:67" s="26" customFormat="1" ht="30" customHeight="1" x14ac:dyDescent="0.25">
      <c r="A16" s="23"/>
      <c r="B16" s="48" t="s">
        <v>16</v>
      </c>
      <c r="C16" s="49">
        <v>72</v>
      </c>
      <c r="D16" s="49"/>
      <c r="E16" s="50">
        <v>0.75</v>
      </c>
      <c r="F16" s="42" t="s">
        <v>28</v>
      </c>
      <c r="G16" s="42"/>
      <c r="H16" s="46" t="str">
        <f>"'Calendar (休みなし)'!A2:B367"</f>
        <v>'Calendar (休みなし)'!A2:B367</v>
      </c>
      <c r="I16" s="67">
        <v>43987</v>
      </c>
      <c r="J16" s="70">
        <f t="shared" si="11"/>
        <v>43995.333333333336</v>
      </c>
      <c r="K16" s="24"/>
      <c r="L16" s="58" t="str">
        <f t="shared" ca="1" si="8"/>
        <v/>
      </c>
      <c r="M16" s="58" t="str">
        <f t="shared" ca="1" si="4"/>
        <v/>
      </c>
      <c r="N16" s="58" t="str">
        <f t="shared" ca="1" si="4"/>
        <v/>
      </c>
      <c r="O16" s="58" t="str">
        <f t="shared" ca="1" si="4"/>
        <v/>
      </c>
      <c r="P16" s="58">
        <f t="shared" ca="1" si="4"/>
        <v>1</v>
      </c>
      <c r="Q16" s="58">
        <f t="shared" ca="1" si="4"/>
        <v>2</v>
      </c>
      <c r="R16" s="58">
        <f t="shared" ca="1" si="4"/>
        <v>3</v>
      </c>
      <c r="S16" s="58">
        <f t="shared" ca="1" si="4"/>
        <v>4</v>
      </c>
      <c r="T16" s="58">
        <f t="shared" ca="1" si="4"/>
        <v>5</v>
      </c>
      <c r="U16" s="58">
        <f t="shared" ca="1" si="4"/>
        <v>6</v>
      </c>
      <c r="V16" s="58">
        <f t="shared" ca="1" si="4"/>
        <v>7</v>
      </c>
      <c r="W16" s="58">
        <f t="shared" ca="1" si="4"/>
        <v>8</v>
      </c>
      <c r="X16" s="58">
        <f t="shared" ca="1" si="4"/>
        <v>9</v>
      </c>
      <c r="Y16" s="58" t="str">
        <f t="shared" ca="1" si="4"/>
        <v/>
      </c>
      <c r="Z16" s="58" t="str">
        <f t="shared" ca="1" si="4"/>
        <v/>
      </c>
      <c r="AA16" s="58" t="str">
        <f t="shared" ca="1" si="4"/>
        <v/>
      </c>
      <c r="AB16" s="58" t="str">
        <f t="shared" ca="1" si="4"/>
        <v/>
      </c>
      <c r="AC16" s="58" t="str">
        <f t="shared" ca="1" si="5"/>
        <v/>
      </c>
      <c r="AD16" s="58" t="str">
        <f t="shared" ca="1" si="5"/>
        <v/>
      </c>
      <c r="AE16" s="58" t="str">
        <f t="shared" ca="1" si="5"/>
        <v/>
      </c>
      <c r="AF16" s="58" t="str">
        <f t="shared" ca="1" si="5"/>
        <v/>
      </c>
      <c r="AG16" s="58" t="str">
        <f t="shared" ca="1" si="5"/>
        <v/>
      </c>
      <c r="AH16" s="58" t="str">
        <f t="shared" ca="1" si="5"/>
        <v/>
      </c>
      <c r="AI16" s="58" t="str">
        <f t="shared" ca="1" si="5"/>
        <v/>
      </c>
      <c r="AJ16" s="58" t="str">
        <f t="shared" ca="1" si="5"/>
        <v/>
      </c>
      <c r="AK16" s="58" t="str">
        <f t="shared" ca="1" si="5"/>
        <v/>
      </c>
      <c r="AL16" s="58" t="str">
        <f t="shared" ca="1" si="5"/>
        <v/>
      </c>
      <c r="AM16" s="58" t="str">
        <f t="shared" ca="1" si="5"/>
        <v/>
      </c>
      <c r="AN16" s="58" t="str">
        <f t="shared" ca="1" si="5"/>
        <v/>
      </c>
      <c r="AO16" s="58" t="str">
        <f t="shared" ca="1" si="5"/>
        <v/>
      </c>
      <c r="AP16" s="58" t="str">
        <f t="shared" ca="1" si="5"/>
        <v/>
      </c>
      <c r="AQ16" s="58" t="str">
        <f t="shared" ca="1" si="5"/>
        <v/>
      </c>
      <c r="AR16" s="58" t="str">
        <f t="shared" ca="1" si="5"/>
        <v/>
      </c>
      <c r="AS16" s="58" t="str">
        <f t="shared" ca="1" si="6"/>
        <v/>
      </c>
      <c r="AT16" s="58" t="str">
        <f t="shared" ca="1" si="6"/>
        <v/>
      </c>
      <c r="AU16" s="58" t="str">
        <f t="shared" ca="1" si="6"/>
        <v/>
      </c>
      <c r="AV16" s="58" t="str">
        <f t="shared" ca="1" si="6"/>
        <v/>
      </c>
      <c r="AW16" s="58" t="str">
        <f t="shared" ca="1" si="6"/>
        <v/>
      </c>
      <c r="AX16" s="58" t="str">
        <f t="shared" ca="1" si="6"/>
        <v/>
      </c>
      <c r="AY16" s="58" t="str">
        <f t="shared" ca="1" si="6"/>
        <v/>
      </c>
      <c r="AZ16" s="58" t="str">
        <f t="shared" ca="1" si="6"/>
        <v/>
      </c>
      <c r="BA16" s="58" t="str">
        <f t="shared" ca="1" si="6"/>
        <v/>
      </c>
      <c r="BB16" s="58" t="str">
        <f t="shared" ca="1" si="6"/>
        <v/>
      </c>
      <c r="BC16" s="58" t="str">
        <f t="shared" ca="1" si="6"/>
        <v/>
      </c>
      <c r="BD16" s="58" t="str">
        <f t="shared" ca="1" si="6"/>
        <v/>
      </c>
      <c r="BE16" s="58" t="str">
        <f t="shared" ca="1" si="6"/>
        <v/>
      </c>
      <c r="BF16" s="58" t="str">
        <f t="shared" ca="1" si="6"/>
        <v/>
      </c>
      <c r="BG16" s="58" t="str">
        <f t="shared" ca="1" si="6"/>
        <v/>
      </c>
      <c r="BH16" s="58" t="str">
        <f t="shared" ca="1" si="6"/>
        <v/>
      </c>
      <c r="BI16" s="58" t="str">
        <f t="shared" ca="1" si="7"/>
        <v/>
      </c>
      <c r="BJ16" s="58" t="str">
        <f t="shared" ca="1" si="7"/>
        <v/>
      </c>
      <c r="BK16" s="58" t="str">
        <f t="shared" ca="1" si="7"/>
        <v/>
      </c>
      <c r="BL16" s="58" t="str">
        <f t="shared" ca="1" si="7"/>
        <v/>
      </c>
      <c r="BM16" s="58" t="str">
        <f t="shared" ca="1" si="7"/>
        <v/>
      </c>
      <c r="BN16" s="58" t="str">
        <f t="shared" ca="1" si="7"/>
        <v/>
      </c>
      <c r="BO16" s="58" t="str">
        <f t="shared" ca="1" si="7"/>
        <v/>
      </c>
    </row>
    <row r="17" spans="1:67" s="26" customFormat="1" ht="30" customHeight="1" x14ac:dyDescent="0.25">
      <c r="A17" s="23"/>
      <c r="B17" s="44" t="s">
        <v>17</v>
      </c>
      <c r="C17" s="45">
        <v>88</v>
      </c>
      <c r="D17" s="45"/>
      <c r="E17" s="47">
        <v>0.25</v>
      </c>
      <c r="F17" s="46" t="s">
        <v>25</v>
      </c>
      <c r="G17" s="46"/>
      <c r="H17" s="46" t="str">
        <f>"'Calendar (土日だけ休み)'!A2:B367"</f>
        <v>'Calendar (土日だけ休み)'!A2:B367</v>
      </c>
      <c r="I17" s="67">
        <v>43992</v>
      </c>
      <c r="J17" s="70">
        <f t="shared" si="11"/>
        <v>44006.333333333336</v>
      </c>
      <c r="K17" s="24"/>
      <c r="L17" s="58" t="str">
        <f t="shared" ca="1" si="8"/>
        <v/>
      </c>
      <c r="M17" s="58" t="str">
        <f t="shared" ca="1" si="4"/>
        <v/>
      </c>
      <c r="N17" s="58" t="str">
        <f t="shared" ca="1" si="4"/>
        <v/>
      </c>
      <c r="O17" s="58" t="str">
        <f t="shared" ca="1" si="4"/>
        <v/>
      </c>
      <c r="P17" s="58" t="str">
        <f t="shared" ca="1" si="4"/>
        <v/>
      </c>
      <c r="Q17" s="58" t="str">
        <f t="shared" ca="1" si="4"/>
        <v/>
      </c>
      <c r="R17" s="58" t="str">
        <f t="shared" ca="1" si="4"/>
        <v/>
      </c>
      <c r="S17" s="58" t="str">
        <f t="shared" ca="1" si="4"/>
        <v/>
      </c>
      <c r="T17" s="58" t="str">
        <f t="shared" ca="1" si="4"/>
        <v/>
      </c>
      <c r="U17" s="58">
        <f t="shared" ca="1" si="4"/>
        <v>1</v>
      </c>
      <c r="V17" s="58">
        <f t="shared" ca="1" si="4"/>
        <v>2</v>
      </c>
      <c r="W17" s="58">
        <f t="shared" ca="1" si="4"/>
        <v>3</v>
      </c>
      <c r="X17" s="58">
        <f t="shared" ca="1" si="4"/>
        <v>3</v>
      </c>
      <c r="Y17" s="58">
        <f t="shared" ca="1" si="4"/>
        <v>3</v>
      </c>
      <c r="Z17" s="58">
        <f t="shared" ca="1" si="4"/>
        <v>4</v>
      </c>
      <c r="AA17" s="58">
        <f t="shared" ca="1" si="4"/>
        <v>5</v>
      </c>
      <c r="AB17" s="58">
        <f t="shared" ca="1" si="4"/>
        <v>6</v>
      </c>
      <c r="AC17" s="58">
        <f t="shared" ca="1" si="5"/>
        <v>7</v>
      </c>
      <c r="AD17" s="58">
        <f t="shared" ca="1" si="5"/>
        <v>8</v>
      </c>
      <c r="AE17" s="58">
        <f t="shared" ca="1" si="5"/>
        <v>8</v>
      </c>
      <c r="AF17" s="58">
        <f t="shared" ca="1" si="5"/>
        <v>8</v>
      </c>
      <c r="AG17" s="58">
        <f t="shared" ca="1" si="5"/>
        <v>9</v>
      </c>
      <c r="AH17" s="58">
        <f t="shared" ca="1" si="5"/>
        <v>10</v>
      </c>
      <c r="AI17" s="58">
        <f t="shared" ca="1" si="5"/>
        <v>11</v>
      </c>
      <c r="AJ17" s="58" t="str">
        <f t="shared" ca="1" si="5"/>
        <v/>
      </c>
      <c r="AK17" s="58" t="str">
        <f t="shared" ca="1" si="5"/>
        <v/>
      </c>
      <c r="AL17" s="58" t="str">
        <f t="shared" ca="1" si="5"/>
        <v/>
      </c>
      <c r="AM17" s="58" t="str">
        <f t="shared" ca="1" si="5"/>
        <v/>
      </c>
      <c r="AN17" s="58" t="str">
        <f t="shared" ca="1" si="5"/>
        <v/>
      </c>
      <c r="AO17" s="58" t="str">
        <f t="shared" ca="1" si="5"/>
        <v/>
      </c>
      <c r="AP17" s="58" t="str">
        <f t="shared" ca="1" si="5"/>
        <v/>
      </c>
      <c r="AQ17" s="58" t="str">
        <f t="shared" ca="1" si="5"/>
        <v/>
      </c>
      <c r="AR17" s="58" t="str">
        <f t="shared" ca="1" si="5"/>
        <v/>
      </c>
      <c r="AS17" s="58" t="str">
        <f t="shared" ca="1" si="6"/>
        <v/>
      </c>
      <c r="AT17" s="58" t="str">
        <f t="shared" ca="1" si="6"/>
        <v/>
      </c>
      <c r="AU17" s="58" t="str">
        <f t="shared" ca="1" si="6"/>
        <v/>
      </c>
      <c r="AV17" s="58" t="str">
        <f t="shared" ca="1" si="6"/>
        <v/>
      </c>
      <c r="AW17" s="58" t="str">
        <f t="shared" ca="1" si="6"/>
        <v/>
      </c>
      <c r="AX17" s="58" t="str">
        <f t="shared" ca="1" si="6"/>
        <v/>
      </c>
      <c r="AY17" s="58" t="str">
        <f t="shared" ca="1" si="6"/>
        <v/>
      </c>
      <c r="AZ17" s="58" t="str">
        <f t="shared" ca="1" si="6"/>
        <v/>
      </c>
      <c r="BA17" s="58" t="str">
        <f t="shared" ca="1" si="6"/>
        <v/>
      </c>
      <c r="BB17" s="58" t="str">
        <f t="shared" ca="1" si="6"/>
        <v/>
      </c>
      <c r="BC17" s="58" t="str">
        <f t="shared" ca="1" si="6"/>
        <v/>
      </c>
      <c r="BD17" s="58" t="str">
        <f t="shared" ca="1" si="6"/>
        <v/>
      </c>
      <c r="BE17" s="58" t="str">
        <f t="shared" ca="1" si="6"/>
        <v/>
      </c>
      <c r="BF17" s="58" t="str">
        <f t="shared" ca="1" si="6"/>
        <v/>
      </c>
      <c r="BG17" s="58" t="str">
        <f t="shared" ca="1" si="6"/>
        <v/>
      </c>
      <c r="BH17" s="58" t="str">
        <f t="shared" ca="1" si="6"/>
        <v/>
      </c>
      <c r="BI17" s="58" t="str">
        <f t="shared" ca="1" si="7"/>
        <v/>
      </c>
      <c r="BJ17" s="58" t="str">
        <f t="shared" ca="1" si="7"/>
        <v/>
      </c>
      <c r="BK17" s="58" t="str">
        <f t="shared" ca="1" si="7"/>
        <v/>
      </c>
      <c r="BL17" s="58" t="str">
        <f t="shared" ca="1" si="7"/>
        <v/>
      </c>
      <c r="BM17" s="58" t="str">
        <f t="shared" ca="1" si="7"/>
        <v/>
      </c>
      <c r="BN17" s="58" t="str">
        <f t="shared" ca="1" si="7"/>
        <v/>
      </c>
      <c r="BO17" s="58" t="str">
        <f t="shared" ca="1" si="7"/>
        <v/>
      </c>
    </row>
    <row r="18" spans="1:67" s="26" customFormat="1" ht="30" customHeight="1" x14ac:dyDescent="0.25">
      <c r="A18" s="23"/>
      <c r="B18" s="48" t="s">
        <v>18</v>
      </c>
      <c r="C18" s="49"/>
      <c r="D18" s="49"/>
      <c r="E18" s="50"/>
      <c r="F18" s="42" t="s">
        <v>71</v>
      </c>
      <c r="G18" s="42"/>
      <c r="H18" s="46" t="str">
        <f t="shared" ref="H18:H19" si="12">"'Calendar (休みなし)'!A2:B367"</f>
        <v>'Calendar (休みなし)'!A2:B367</v>
      </c>
      <c r="I18" s="67">
        <v>43994</v>
      </c>
      <c r="J18" s="70"/>
      <c r="K18" s="24"/>
      <c r="L18" s="58" t="str">
        <f t="shared" ca="1" si="8"/>
        <v/>
      </c>
      <c r="M18" s="58" t="str">
        <f t="shared" ca="1" si="4"/>
        <v/>
      </c>
      <c r="N18" s="58" t="str">
        <f t="shared" ca="1" si="4"/>
        <v/>
      </c>
      <c r="O18" s="58" t="str">
        <f t="shared" ca="1" si="4"/>
        <v/>
      </c>
      <c r="P18" s="58" t="str">
        <f t="shared" ca="1" si="4"/>
        <v/>
      </c>
      <c r="Q18" s="58" t="str">
        <f t="shared" ca="1" si="4"/>
        <v/>
      </c>
      <c r="R18" s="58" t="str">
        <f t="shared" ca="1" si="4"/>
        <v/>
      </c>
      <c r="S18" s="58" t="str">
        <f t="shared" ca="1" si="4"/>
        <v/>
      </c>
      <c r="T18" s="58" t="str">
        <f t="shared" ca="1" si="4"/>
        <v/>
      </c>
      <c r="U18" s="58" t="str">
        <f t="shared" ca="1" si="4"/>
        <v/>
      </c>
      <c r="V18" s="58" t="str">
        <f t="shared" ca="1" si="4"/>
        <v/>
      </c>
      <c r="W18" s="58" t="str">
        <f t="shared" ca="1" si="4"/>
        <v>▲</v>
      </c>
      <c r="X18" s="58" t="str">
        <f t="shared" ca="1" si="4"/>
        <v/>
      </c>
      <c r="Y18" s="58" t="str">
        <f t="shared" ca="1" si="4"/>
        <v/>
      </c>
      <c r="Z18" s="58" t="str">
        <f t="shared" ca="1" si="4"/>
        <v/>
      </c>
      <c r="AA18" s="58" t="str">
        <f t="shared" ca="1" si="4"/>
        <v/>
      </c>
      <c r="AB18" s="58" t="str">
        <f t="shared" ca="1" si="4"/>
        <v/>
      </c>
      <c r="AC18" s="58" t="str">
        <f t="shared" ca="1" si="5"/>
        <v/>
      </c>
      <c r="AD18" s="58" t="str">
        <f t="shared" ca="1" si="5"/>
        <v/>
      </c>
      <c r="AE18" s="58" t="str">
        <f t="shared" ca="1" si="5"/>
        <v/>
      </c>
      <c r="AF18" s="58" t="str">
        <f t="shared" ca="1" si="5"/>
        <v/>
      </c>
      <c r="AG18" s="58" t="str">
        <f t="shared" ca="1" si="5"/>
        <v/>
      </c>
      <c r="AH18" s="58" t="str">
        <f t="shared" ca="1" si="5"/>
        <v/>
      </c>
      <c r="AI18" s="58" t="str">
        <f t="shared" ca="1" si="5"/>
        <v/>
      </c>
      <c r="AJ18" s="58" t="str">
        <f t="shared" ca="1" si="5"/>
        <v/>
      </c>
      <c r="AK18" s="58" t="str">
        <f t="shared" ca="1" si="5"/>
        <v/>
      </c>
      <c r="AL18" s="58" t="str">
        <f t="shared" ca="1" si="5"/>
        <v/>
      </c>
      <c r="AM18" s="58" t="str">
        <f t="shared" ca="1" si="5"/>
        <v/>
      </c>
      <c r="AN18" s="58" t="str">
        <f t="shared" ca="1" si="5"/>
        <v/>
      </c>
      <c r="AO18" s="58" t="str">
        <f t="shared" ca="1" si="5"/>
        <v/>
      </c>
      <c r="AP18" s="58" t="str">
        <f t="shared" ca="1" si="5"/>
        <v/>
      </c>
      <c r="AQ18" s="58" t="str">
        <f t="shared" ca="1" si="5"/>
        <v/>
      </c>
      <c r="AR18" s="58" t="str">
        <f t="shared" ca="1" si="5"/>
        <v/>
      </c>
      <c r="AS18" s="58" t="str">
        <f t="shared" ca="1" si="6"/>
        <v/>
      </c>
      <c r="AT18" s="58" t="str">
        <f t="shared" ca="1" si="6"/>
        <v/>
      </c>
      <c r="AU18" s="58" t="str">
        <f t="shared" ca="1" si="6"/>
        <v/>
      </c>
      <c r="AV18" s="58" t="str">
        <f t="shared" ca="1" si="6"/>
        <v/>
      </c>
      <c r="AW18" s="58" t="str">
        <f t="shared" ca="1" si="6"/>
        <v/>
      </c>
      <c r="AX18" s="58" t="str">
        <f t="shared" ca="1" si="6"/>
        <v/>
      </c>
      <c r="AY18" s="58" t="str">
        <f t="shared" ca="1" si="6"/>
        <v/>
      </c>
      <c r="AZ18" s="58" t="str">
        <f t="shared" ca="1" si="6"/>
        <v/>
      </c>
      <c r="BA18" s="58" t="str">
        <f t="shared" ca="1" si="6"/>
        <v/>
      </c>
      <c r="BB18" s="58" t="str">
        <f t="shared" ca="1" si="6"/>
        <v/>
      </c>
      <c r="BC18" s="58" t="str">
        <f t="shared" ca="1" si="6"/>
        <v/>
      </c>
      <c r="BD18" s="58" t="str">
        <f t="shared" ca="1" si="6"/>
        <v/>
      </c>
      <c r="BE18" s="58" t="str">
        <f t="shared" ca="1" si="6"/>
        <v/>
      </c>
      <c r="BF18" s="58" t="str">
        <f t="shared" ca="1" si="6"/>
        <v/>
      </c>
      <c r="BG18" s="58" t="str">
        <f t="shared" ca="1" si="6"/>
        <v/>
      </c>
      <c r="BH18" s="58" t="str">
        <f t="shared" ca="1" si="6"/>
        <v/>
      </c>
      <c r="BI18" s="58" t="str">
        <f t="shared" ca="1" si="7"/>
        <v/>
      </c>
      <c r="BJ18" s="58" t="str">
        <f t="shared" ca="1" si="7"/>
        <v/>
      </c>
      <c r="BK18" s="58" t="str">
        <f t="shared" ca="1" si="7"/>
        <v/>
      </c>
      <c r="BL18" s="58" t="str">
        <f t="shared" ca="1" si="7"/>
        <v/>
      </c>
      <c r="BM18" s="58" t="str">
        <f t="shared" ca="1" si="7"/>
        <v/>
      </c>
      <c r="BN18" s="58" t="str">
        <f t="shared" ca="1" si="7"/>
        <v/>
      </c>
      <c r="BO18" s="58" t="str">
        <f t="shared" ca="1" si="7"/>
        <v/>
      </c>
    </row>
    <row r="19" spans="1:67" s="26" customFormat="1" ht="30" customHeight="1" x14ac:dyDescent="0.25">
      <c r="A19" s="23"/>
      <c r="B19" s="44" t="s">
        <v>19</v>
      </c>
      <c r="C19" s="45">
        <v>192</v>
      </c>
      <c r="D19" s="45"/>
      <c r="E19" s="47"/>
      <c r="F19" s="46"/>
      <c r="G19" s="46"/>
      <c r="H19" s="46" t="str">
        <f t="shared" si="12"/>
        <v>'Calendar (休みなし)'!A2:B367</v>
      </c>
      <c r="I19" s="67">
        <v>43995</v>
      </c>
      <c r="J19" s="70">
        <f t="shared" si="11"/>
        <v>44018.333333333336</v>
      </c>
      <c r="K19" s="24"/>
      <c r="L19" s="58" t="str">
        <f t="shared" si="8"/>
        <v/>
      </c>
      <c r="M19" s="58" t="str">
        <f t="shared" si="4"/>
        <v/>
      </c>
      <c r="N19" s="58" t="str">
        <f t="shared" si="4"/>
        <v/>
      </c>
      <c r="O19" s="58" t="str">
        <f t="shared" si="4"/>
        <v/>
      </c>
      <c r="P19" s="58" t="str">
        <f t="shared" si="4"/>
        <v/>
      </c>
      <c r="Q19" s="58" t="str">
        <f t="shared" si="4"/>
        <v/>
      </c>
      <c r="R19" s="58" t="str">
        <f t="shared" si="4"/>
        <v/>
      </c>
      <c r="S19" s="58" t="str">
        <f t="shared" si="4"/>
        <v/>
      </c>
      <c r="T19" s="58" t="str">
        <f t="shared" si="4"/>
        <v/>
      </c>
      <c r="U19" s="58" t="str">
        <f t="shared" si="4"/>
        <v/>
      </c>
      <c r="V19" s="58" t="str">
        <f t="shared" si="4"/>
        <v/>
      </c>
      <c r="W19" s="58" t="str">
        <f t="shared" si="4"/>
        <v/>
      </c>
      <c r="X19" s="58" t="str">
        <f t="shared" si="4"/>
        <v/>
      </c>
      <c r="Y19" s="58" t="str">
        <f t="shared" si="4"/>
        <v/>
      </c>
      <c r="Z19" s="58" t="str">
        <f t="shared" si="4"/>
        <v/>
      </c>
      <c r="AA19" s="58" t="str">
        <f t="shared" si="4"/>
        <v/>
      </c>
      <c r="AB19" s="58" t="str">
        <f t="shared" si="4"/>
        <v/>
      </c>
      <c r="AC19" s="58" t="str">
        <f t="shared" si="5"/>
        <v/>
      </c>
      <c r="AD19" s="58" t="str">
        <f t="shared" si="5"/>
        <v/>
      </c>
      <c r="AE19" s="58" t="str">
        <f t="shared" si="5"/>
        <v/>
      </c>
      <c r="AF19" s="58" t="str">
        <f t="shared" si="5"/>
        <v/>
      </c>
      <c r="AG19" s="58" t="str">
        <f t="shared" si="5"/>
        <v/>
      </c>
      <c r="AH19" s="58" t="str">
        <f t="shared" si="5"/>
        <v/>
      </c>
      <c r="AI19" s="58" t="str">
        <f t="shared" si="5"/>
        <v/>
      </c>
      <c r="AJ19" s="58" t="str">
        <f t="shared" si="5"/>
        <v/>
      </c>
      <c r="AK19" s="58" t="str">
        <f t="shared" si="5"/>
        <v/>
      </c>
      <c r="AL19" s="58" t="str">
        <f t="shared" si="5"/>
        <v/>
      </c>
      <c r="AM19" s="58" t="str">
        <f t="shared" si="5"/>
        <v/>
      </c>
      <c r="AN19" s="58" t="str">
        <f t="shared" si="5"/>
        <v/>
      </c>
      <c r="AO19" s="58" t="str">
        <f t="shared" si="5"/>
        <v/>
      </c>
      <c r="AP19" s="58" t="str">
        <f t="shared" si="5"/>
        <v/>
      </c>
      <c r="AQ19" s="58" t="str">
        <f t="shared" si="5"/>
        <v/>
      </c>
      <c r="AR19" s="58" t="str">
        <f t="shared" si="5"/>
        <v/>
      </c>
      <c r="AS19" s="58" t="str">
        <f t="shared" si="6"/>
        <v/>
      </c>
      <c r="AT19" s="58" t="str">
        <f t="shared" si="6"/>
        <v/>
      </c>
      <c r="AU19" s="58" t="str">
        <f t="shared" si="6"/>
        <v/>
      </c>
      <c r="AV19" s="58" t="str">
        <f t="shared" si="6"/>
        <v/>
      </c>
      <c r="AW19" s="58" t="str">
        <f t="shared" si="6"/>
        <v/>
      </c>
      <c r="AX19" s="58" t="str">
        <f t="shared" si="6"/>
        <v/>
      </c>
      <c r="AY19" s="58" t="str">
        <f t="shared" si="6"/>
        <v/>
      </c>
      <c r="AZ19" s="58" t="str">
        <f t="shared" si="6"/>
        <v/>
      </c>
      <c r="BA19" s="58" t="str">
        <f t="shared" si="6"/>
        <v/>
      </c>
      <c r="BB19" s="58" t="str">
        <f t="shared" si="6"/>
        <v/>
      </c>
      <c r="BC19" s="58" t="str">
        <f t="shared" si="6"/>
        <v/>
      </c>
      <c r="BD19" s="58" t="str">
        <f t="shared" si="6"/>
        <v/>
      </c>
      <c r="BE19" s="58" t="str">
        <f t="shared" si="6"/>
        <v/>
      </c>
      <c r="BF19" s="58" t="str">
        <f t="shared" si="6"/>
        <v/>
      </c>
      <c r="BG19" s="58" t="str">
        <f t="shared" si="6"/>
        <v/>
      </c>
      <c r="BH19" s="58" t="str">
        <f t="shared" si="6"/>
        <v/>
      </c>
      <c r="BI19" s="58" t="str">
        <f t="shared" si="7"/>
        <v/>
      </c>
      <c r="BJ19" s="58" t="str">
        <f t="shared" si="7"/>
        <v/>
      </c>
      <c r="BK19" s="58" t="str">
        <f t="shared" si="7"/>
        <v/>
      </c>
      <c r="BL19" s="58" t="str">
        <f t="shared" si="7"/>
        <v/>
      </c>
      <c r="BM19" s="58" t="str">
        <f t="shared" si="7"/>
        <v/>
      </c>
      <c r="BN19" s="58" t="str">
        <f t="shared" si="7"/>
        <v/>
      </c>
      <c r="BO19" s="58" t="str">
        <f t="shared" si="7"/>
        <v/>
      </c>
    </row>
    <row r="20" spans="1:67" s="26" customFormat="1" ht="30" customHeight="1" x14ac:dyDescent="0.25">
      <c r="A20" s="23"/>
      <c r="B20" s="40" t="s">
        <v>21</v>
      </c>
      <c r="C20" s="41"/>
      <c r="D20" s="41"/>
      <c r="E20" s="43"/>
      <c r="F20" s="42"/>
      <c r="G20" s="42"/>
      <c r="H20" s="42"/>
      <c r="I20" s="67"/>
      <c r="J20" s="68"/>
      <c r="K20" s="24"/>
      <c r="L20" s="58" t="str">
        <f t="shared" si="8"/>
        <v/>
      </c>
      <c r="M20" s="58" t="str">
        <f t="shared" si="4"/>
        <v/>
      </c>
      <c r="N20" s="58" t="str">
        <f t="shared" si="4"/>
        <v/>
      </c>
      <c r="O20" s="58" t="str">
        <f t="shared" si="4"/>
        <v/>
      </c>
      <c r="P20" s="58" t="str">
        <f t="shared" si="4"/>
        <v/>
      </c>
      <c r="Q20" s="58" t="str">
        <f t="shared" si="4"/>
        <v/>
      </c>
      <c r="R20" s="58" t="str">
        <f t="shared" si="4"/>
        <v/>
      </c>
      <c r="S20" s="58" t="str">
        <f t="shared" si="4"/>
        <v/>
      </c>
      <c r="T20" s="58" t="str">
        <f t="shared" si="4"/>
        <v/>
      </c>
      <c r="U20" s="58" t="str">
        <f t="shared" si="4"/>
        <v/>
      </c>
      <c r="V20" s="58" t="str">
        <f t="shared" si="4"/>
        <v/>
      </c>
      <c r="W20" s="58" t="str">
        <f t="shared" si="4"/>
        <v/>
      </c>
      <c r="X20" s="58" t="str">
        <f t="shared" si="4"/>
        <v/>
      </c>
      <c r="Y20" s="58" t="str">
        <f t="shared" si="4"/>
        <v/>
      </c>
      <c r="Z20" s="58" t="str">
        <f t="shared" si="4"/>
        <v/>
      </c>
      <c r="AA20" s="58" t="str">
        <f t="shared" si="4"/>
        <v/>
      </c>
      <c r="AB20" s="58" t="str">
        <f t="shared" si="4"/>
        <v/>
      </c>
      <c r="AC20" s="58" t="str">
        <f t="shared" si="5"/>
        <v/>
      </c>
      <c r="AD20" s="58" t="str">
        <f t="shared" si="5"/>
        <v/>
      </c>
      <c r="AE20" s="58" t="str">
        <f t="shared" si="5"/>
        <v/>
      </c>
      <c r="AF20" s="58" t="str">
        <f t="shared" si="5"/>
        <v/>
      </c>
      <c r="AG20" s="58" t="str">
        <f t="shared" si="5"/>
        <v/>
      </c>
      <c r="AH20" s="58" t="str">
        <f t="shared" si="5"/>
        <v/>
      </c>
      <c r="AI20" s="58" t="str">
        <f t="shared" si="5"/>
        <v/>
      </c>
      <c r="AJ20" s="58" t="str">
        <f t="shared" si="5"/>
        <v/>
      </c>
      <c r="AK20" s="58" t="str">
        <f t="shared" si="5"/>
        <v/>
      </c>
      <c r="AL20" s="58" t="str">
        <f t="shared" si="5"/>
        <v/>
      </c>
      <c r="AM20" s="58" t="str">
        <f t="shared" si="5"/>
        <v/>
      </c>
      <c r="AN20" s="58" t="str">
        <f t="shared" si="5"/>
        <v/>
      </c>
      <c r="AO20" s="58" t="str">
        <f t="shared" si="5"/>
        <v/>
      </c>
      <c r="AP20" s="58" t="str">
        <f t="shared" si="5"/>
        <v/>
      </c>
      <c r="AQ20" s="58" t="str">
        <f t="shared" si="5"/>
        <v/>
      </c>
      <c r="AR20" s="58" t="str">
        <f t="shared" si="5"/>
        <v/>
      </c>
      <c r="AS20" s="58" t="str">
        <f t="shared" si="6"/>
        <v/>
      </c>
      <c r="AT20" s="58" t="str">
        <f t="shared" si="6"/>
        <v/>
      </c>
      <c r="AU20" s="58" t="str">
        <f t="shared" si="6"/>
        <v/>
      </c>
      <c r="AV20" s="58" t="str">
        <f t="shared" si="6"/>
        <v/>
      </c>
      <c r="AW20" s="58" t="str">
        <f t="shared" si="6"/>
        <v/>
      </c>
      <c r="AX20" s="58" t="str">
        <f t="shared" si="6"/>
        <v/>
      </c>
      <c r="AY20" s="58" t="str">
        <f t="shared" si="6"/>
        <v/>
      </c>
      <c r="AZ20" s="58" t="str">
        <f t="shared" si="6"/>
        <v/>
      </c>
      <c r="BA20" s="58" t="str">
        <f t="shared" si="6"/>
        <v/>
      </c>
      <c r="BB20" s="58" t="str">
        <f t="shared" si="6"/>
        <v/>
      </c>
      <c r="BC20" s="58" t="str">
        <f t="shared" si="6"/>
        <v/>
      </c>
      <c r="BD20" s="58" t="str">
        <f t="shared" si="6"/>
        <v/>
      </c>
      <c r="BE20" s="58" t="str">
        <f t="shared" si="6"/>
        <v/>
      </c>
      <c r="BF20" s="58" t="str">
        <f t="shared" si="6"/>
        <v/>
      </c>
      <c r="BG20" s="58" t="str">
        <f t="shared" si="6"/>
        <v/>
      </c>
      <c r="BH20" s="58" t="str">
        <f t="shared" si="6"/>
        <v/>
      </c>
      <c r="BI20" s="58" t="str">
        <f t="shared" si="7"/>
        <v/>
      </c>
      <c r="BJ20" s="58" t="str">
        <f t="shared" si="7"/>
        <v/>
      </c>
      <c r="BK20" s="58" t="str">
        <f t="shared" si="7"/>
        <v/>
      </c>
      <c r="BL20" s="58" t="str">
        <f t="shared" si="7"/>
        <v/>
      </c>
      <c r="BM20" s="58" t="str">
        <f t="shared" si="7"/>
        <v/>
      </c>
      <c r="BN20" s="58" t="str">
        <f t="shared" si="7"/>
        <v/>
      </c>
      <c r="BO20" s="58" t="str">
        <f t="shared" si="7"/>
        <v/>
      </c>
    </row>
    <row r="21" spans="1:67" s="26" customFormat="1" ht="30" customHeight="1" x14ac:dyDescent="0.25">
      <c r="A21" s="23"/>
      <c r="B21" s="44" t="s">
        <v>15</v>
      </c>
      <c r="C21" s="45">
        <v>32</v>
      </c>
      <c r="D21" s="45"/>
      <c r="E21" s="47">
        <v>0.25</v>
      </c>
      <c r="F21" s="46" t="s">
        <v>28</v>
      </c>
      <c r="G21" s="46"/>
      <c r="H21" s="46" t="str">
        <f t="shared" ref="H21:H25" si="13">"'Calendar (休みなし)'!A2:B367"</f>
        <v>'Calendar (休みなし)'!A2:B367</v>
      </c>
      <c r="I21" s="69">
        <v>43994</v>
      </c>
      <c r="J21" s="70">
        <f t="shared" si="11"/>
        <v>43997.333333333336</v>
      </c>
      <c r="K21" s="24"/>
      <c r="L21" s="58" t="str">
        <f t="shared" ca="1" si="8"/>
        <v/>
      </c>
      <c r="M21" s="58" t="str">
        <f t="shared" ca="1" si="4"/>
        <v/>
      </c>
      <c r="N21" s="58" t="str">
        <f t="shared" ca="1" si="4"/>
        <v/>
      </c>
      <c r="O21" s="58" t="str">
        <f t="shared" ca="1" si="4"/>
        <v/>
      </c>
      <c r="P21" s="58" t="str">
        <f t="shared" ca="1" si="4"/>
        <v/>
      </c>
      <c r="Q21" s="58" t="str">
        <f t="shared" ca="1" si="4"/>
        <v/>
      </c>
      <c r="R21" s="58" t="str">
        <f t="shared" ca="1" si="4"/>
        <v/>
      </c>
      <c r="S21" s="58" t="str">
        <f t="shared" ca="1" si="4"/>
        <v/>
      </c>
      <c r="T21" s="58" t="str">
        <f t="shared" ca="1" si="4"/>
        <v/>
      </c>
      <c r="U21" s="58" t="str">
        <f t="shared" ca="1" si="4"/>
        <v/>
      </c>
      <c r="V21" s="58" t="str">
        <f t="shared" ca="1" si="4"/>
        <v/>
      </c>
      <c r="W21" s="58">
        <f t="shared" ca="1" si="4"/>
        <v>1</v>
      </c>
      <c r="X21" s="58">
        <f t="shared" ca="1" si="4"/>
        <v>2</v>
      </c>
      <c r="Y21" s="58">
        <f t="shared" ca="1" si="4"/>
        <v>3</v>
      </c>
      <c r="Z21" s="58">
        <f t="shared" ca="1" si="4"/>
        <v>4</v>
      </c>
      <c r="AA21" s="58" t="str">
        <f t="shared" ca="1" si="4"/>
        <v/>
      </c>
      <c r="AB21" s="58" t="str">
        <f t="shared" ca="1" si="4"/>
        <v/>
      </c>
      <c r="AC21" s="58" t="str">
        <f t="shared" ca="1" si="5"/>
        <v/>
      </c>
      <c r="AD21" s="58" t="str">
        <f t="shared" ca="1" si="5"/>
        <v/>
      </c>
      <c r="AE21" s="58" t="str">
        <f t="shared" ca="1" si="5"/>
        <v/>
      </c>
      <c r="AF21" s="58" t="str">
        <f t="shared" ca="1" si="5"/>
        <v/>
      </c>
      <c r="AG21" s="58" t="str">
        <f t="shared" ca="1" si="5"/>
        <v/>
      </c>
      <c r="AH21" s="58" t="str">
        <f t="shared" ca="1" si="5"/>
        <v/>
      </c>
      <c r="AI21" s="58" t="str">
        <f t="shared" ca="1" si="5"/>
        <v/>
      </c>
      <c r="AJ21" s="58" t="str">
        <f t="shared" ca="1" si="5"/>
        <v/>
      </c>
      <c r="AK21" s="58" t="str">
        <f t="shared" ca="1" si="5"/>
        <v/>
      </c>
      <c r="AL21" s="58" t="str">
        <f t="shared" ca="1" si="5"/>
        <v/>
      </c>
      <c r="AM21" s="58" t="str">
        <f t="shared" ca="1" si="5"/>
        <v/>
      </c>
      <c r="AN21" s="58" t="str">
        <f t="shared" ca="1" si="5"/>
        <v/>
      </c>
      <c r="AO21" s="58" t="str">
        <f t="shared" ca="1" si="5"/>
        <v/>
      </c>
      <c r="AP21" s="58" t="str">
        <f t="shared" ca="1" si="5"/>
        <v/>
      </c>
      <c r="AQ21" s="58" t="str">
        <f t="shared" ca="1" si="5"/>
        <v/>
      </c>
      <c r="AR21" s="58" t="str">
        <f t="shared" ca="1" si="5"/>
        <v/>
      </c>
      <c r="AS21" s="58" t="str">
        <f t="shared" ca="1" si="6"/>
        <v/>
      </c>
      <c r="AT21" s="58" t="str">
        <f t="shared" ca="1" si="6"/>
        <v/>
      </c>
      <c r="AU21" s="58" t="str">
        <f t="shared" ca="1" si="6"/>
        <v/>
      </c>
      <c r="AV21" s="58" t="str">
        <f t="shared" ca="1" si="6"/>
        <v/>
      </c>
      <c r="AW21" s="58" t="str">
        <f t="shared" ca="1" si="6"/>
        <v/>
      </c>
      <c r="AX21" s="58" t="str">
        <f t="shared" ca="1" si="6"/>
        <v/>
      </c>
      <c r="AY21" s="58" t="str">
        <f t="shared" ca="1" si="6"/>
        <v/>
      </c>
      <c r="AZ21" s="58" t="str">
        <f t="shared" ca="1" si="6"/>
        <v/>
      </c>
      <c r="BA21" s="58" t="str">
        <f t="shared" ca="1" si="6"/>
        <v/>
      </c>
      <c r="BB21" s="58" t="str">
        <f t="shared" ca="1" si="6"/>
        <v/>
      </c>
      <c r="BC21" s="58" t="str">
        <f t="shared" ca="1" si="6"/>
        <v/>
      </c>
      <c r="BD21" s="58" t="str">
        <f t="shared" ca="1" si="6"/>
        <v/>
      </c>
      <c r="BE21" s="58" t="str">
        <f t="shared" ca="1" si="6"/>
        <v/>
      </c>
      <c r="BF21" s="58" t="str">
        <f t="shared" ca="1" si="6"/>
        <v/>
      </c>
      <c r="BG21" s="58" t="str">
        <f t="shared" ca="1" si="6"/>
        <v/>
      </c>
      <c r="BH21" s="58" t="str">
        <f t="shared" ca="1" si="6"/>
        <v/>
      </c>
      <c r="BI21" s="58" t="str">
        <f t="shared" ca="1" si="7"/>
        <v/>
      </c>
      <c r="BJ21" s="58" t="str">
        <f t="shared" ca="1" si="7"/>
        <v/>
      </c>
      <c r="BK21" s="58" t="str">
        <f t="shared" ca="1" si="7"/>
        <v/>
      </c>
      <c r="BL21" s="58" t="str">
        <f t="shared" ca="1" si="7"/>
        <v/>
      </c>
      <c r="BM21" s="58" t="str">
        <f t="shared" ca="1" si="7"/>
        <v/>
      </c>
      <c r="BN21" s="58" t="str">
        <f t="shared" ca="1" si="7"/>
        <v/>
      </c>
      <c r="BO21" s="58" t="str">
        <f t="shared" ca="1" si="7"/>
        <v/>
      </c>
    </row>
    <row r="22" spans="1:67" s="26" customFormat="1" ht="30" customHeight="1" x14ac:dyDescent="0.25">
      <c r="A22" s="23"/>
      <c r="B22" s="48" t="s">
        <v>16</v>
      </c>
      <c r="C22" s="45">
        <v>112</v>
      </c>
      <c r="D22" s="45"/>
      <c r="E22" s="50"/>
      <c r="F22" s="42" t="s">
        <v>26</v>
      </c>
      <c r="G22" s="42"/>
      <c r="H22" s="46" t="str">
        <f t="shared" si="13"/>
        <v>'Calendar (休みなし)'!A2:B367</v>
      </c>
      <c r="I22" s="67">
        <v>43997</v>
      </c>
      <c r="J22" s="70">
        <f t="shared" si="11"/>
        <v>44010.333333333336</v>
      </c>
      <c r="K22" s="24"/>
      <c r="L22" s="58" t="str">
        <f t="shared" ca="1" si="8"/>
        <v/>
      </c>
      <c r="M22" s="58" t="str">
        <f t="shared" ca="1" si="4"/>
        <v/>
      </c>
      <c r="N22" s="58" t="str">
        <f t="shared" ca="1" si="4"/>
        <v/>
      </c>
      <c r="O22" s="58" t="str">
        <f t="shared" ca="1" si="4"/>
        <v/>
      </c>
      <c r="P22" s="58" t="str">
        <f t="shared" ca="1" si="4"/>
        <v/>
      </c>
      <c r="Q22" s="58" t="str">
        <f t="shared" ca="1" si="4"/>
        <v/>
      </c>
      <c r="R22" s="58" t="str">
        <f t="shared" ca="1" si="4"/>
        <v/>
      </c>
      <c r="S22" s="58" t="str">
        <f t="shared" ca="1" si="4"/>
        <v/>
      </c>
      <c r="T22" s="58" t="str">
        <f t="shared" ca="1" si="4"/>
        <v/>
      </c>
      <c r="U22" s="58" t="str">
        <f t="shared" ca="1" si="4"/>
        <v/>
      </c>
      <c r="V22" s="58" t="str">
        <f t="shared" ca="1" si="4"/>
        <v/>
      </c>
      <c r="W22" s="58" t="str">
        <f t="shared" ca="1" si="4"/>
        <v/>
      </c>
      <c r="X22" s="58" t="str">
        <f t="shared" ca="1" si="4"/>
        <v/>
      </c>
      <c r="Y22" s="58" t="str">
        <f t="shared" ca="1" si="4"/>
        <v/>
      </c>
      <c r="Z22" s="58">
        <f t="shared" ca="1" si="4"/>
        <v>1</v>
      </c>
      <c r="AA22" s="58">
        <f t="shared" ca="1" si="4"/>
        <v>2</v>
      </c>
      <c r="AB22" s="58">
        <f t="shared" ca="1" si="4"/>
        <v>3</v>
      </c>
      <c r="AC22" s="58">
        <f t="shared" ca="1" si="5"/>
        <v>4</v>
      </c>
      <c r="AD22" s="58">
        <f t="shared" ca="1" si="5"/>
        <v>5</v>
      </c>
      <c r="AE22" s="58">
        <f t="shared" ca="1" si="5"/>
        <v>6</v>
      </c>
      <c r="AF22" s="58">
        <f t="shared" ca="1" si="5"/>
        <v>7</v>
      </c>
      <c r="AG22" s="58">
        <f t="shared" ca="1" si="5"/>
        <v>8</v>
      </c>
      <c r="AH22" s="58">
        <f t="shared" ca="1" si="5"/>
        <v>9</v>
      </c>
      <c r="AI22" s="58">
        <f t="shared" ca="1" si="5"/>
        <v>10</v>
      </c>
      <c r="AJ22" s="58">
        <f t="shared" ca="1" si="5"/>
        <v>11</v>
      </c>
      <c r="AK22" s="58">
        <f t="shared" ca="1" si="5"/>
        <v>12</v>
      </c>
      <c r="AL22" s="58">
        <f t="shared" ca="1" si="5"/>
        <v>13</v>
      </c>
      <c r="AM22" s="58">
        <f t="shared" ca="1" si="5"/>
        <v>14</v>
      </c>
      <c r="AN22" s="58" t="str">
        <f t="shared" ca="1" si="5"/>
        <v/>
      </c>
      <c r="AO22" s="58" t="str">
        <f t="shared" ca="1" si="5"/>
        <v/>
      </c>
      <c r="AP22" s="58" t="str">
        <f t="shared" ca="1" si="5"/>
        <v/>
      </c>
      <c r="AQ22" s="58" t="str">
        <f t="shared" ca="1" si="5"/>
        <v/>
      </c>
      <c r="AR22" s="58" t="str">
        <f t="shared" ca="1" si="5"/>
        <v/>
      </c>
      <c r="AS22" s="58" t="str">
        <f t="shared" ca="1" si="6"/>
        <v/>
      </c>
      <c r="AT22" s="58" t="str">
        <f t="shared" ca="1" si="6"/>
        <v/>
      </c>
      <c r="AU22" s="58" t="str">
        <f t="shared" ca="1" si="6"/>
        <v/>
      </c>
      <c r="AV22" s="58" t="str">
        <f t="shared" ca="1" si="6"/>
        <v/>
      </c>
      <c r="AW22" s="58" t="str">
        <f t="shared" ca="1" si="6"/>
        <v/>
      </c>
      <c r="AX22" s="58" t="str">
        <f t="shared" ca="1" si="6"/>
        <v/>
      </c>
      <c r="AY22" s="58" t="str">
        <f t="shared" ca="1" si="6"/>
        <v/>
      </c>
      <c r="AZ22" s="58" t="str">
        <f t="shared" ca="1" si="6"/>
        <v/>
      </c>
      <c r="BA22" s="58" t="str">
        <f t="shared" ca="1" si="6"/>
        <v/>
      </c>
      <c r="BB22" s="58" t="str">
        <f t="shared" ca="1" si="6"/>
        <v/>
      </c>
      <c r="BC22" s="58" t="str">
        <f t="shared" ca="1" si="6"/>
        <v/>
      </c>
      <c r="BD22" s="58" t="str">
        <f t="shared" ca="1" si="6"/>
        <v/>
      </c>
      <c r="BE22" s="58" t="str">
        <f t="shared" ca="1" si="6"/>
        <v/>
      </c>
      <c r="BF22" s="58" t="str">
        <f t="shared" ca="1" si="6"/>
        <v/>
      </c>
      <c r="BG22" s="58" t="str">
        <f t="shared" ca="1" si="6"/>
        <v/>
      </c>
      <c r="BH22" s="58" t="str">
        <f t="shared" ca="1" si="6"/>
        <v/>
      </c>
      <c r="BI22" s="58" t="str">
        <f t="shared" ca="1" si="7"/>
        <v/>
      </c>
      <c r="BJ22" s="58" t="str">
        <f t="shared" ca="1" si="7"/>
        <v/>
      </c>
      <c r="BK22" s="58" t="str">
        <f t="shared" ca="1" si="7"/>
        <v/>
      </c>
      <c r="BL22" s="58" t="str">
        <f t="shared" ca="1" si="7"/>
        <v/>
      </c>
      <c r="BM22" s="58" t="str">
        <f t="shared" ca="1" si="7"/>
        <v/>
      </c>
      <c r="BN22" s="58" t="str">
        <f t="shared" ca="1" si="7"/>
        <v/>
      </c>
      <c r="BO22" s="58" t="str">
        <f t="shared" ca="1" si="7"/>
        <v/>
      </c>
    </row>
    <row r="23" spans="1:67" s="26" customFormat="1" ht="30" customHeight="1" x14ac:dyDescent="0.25">
      <c r="A23" s="23"/>
      <c r="B23" s="44" t="s">
        <v>17</v>
      </c>
      <c r="C23" s="45">
        <v>48</v>
      </c>
      <c r="D23" s="45"/>
      <c r="E23" s="47"/>
      <c r="F23" s="46" t="s">
        <v>28</v>
      </c>
      <c r="G23" s="46"/>
      <c r="H23" s="46" t="str">
        <f t="shared" si="13"/>
        <v>'Calendar (休みなし)'!A2:B367</v>
      </c>
      <c r="I23" s="69">
        <v>44012</v>
      </c>
      <c r="J23" s="70">
        <f t="shared" si="11"/>
        <v>44017.333333333336</v>
      </c>
      <c r="K23" s="24"/>
      <c r="L23" s="58" t="str">
        <f t="shared" ca="1" si="8"/>
        <v/>
      </c>
      <c r="M23" s="58" t="str">
        <f t="shared" ca="1" si="4"/>
        <v/>
      </c>
      <c r="N23" s="58" t="str">
        <f t="shared" ca="1" si="4"/>
        <v/>
      </c>
      <c r="O23" s="58" t="str">
        <f t="shared" ca="1" si="4"/>
        <v/>
      </c>
      <c r="P23" s="58" t="str">
        <f t="shared" ca="1" si="4"/>
        <v/>
      </c>
      <c r="Q23" s="58" t="str">
        <f t="shared" ca="1" si="4"/>
        <v/>
      </c>
      <c r="R23" s="58" t="str">
        <f t="shared" ca="1" si="4"/>
        <v/>
      </c>
      <c r="S23" s="58" t="str">
        <f t="shared" ca="1" si="4"/>
        <v/>
      </c>
      <c r="T23" s="58" t="str">
        <f t="shared" ca="1" si="4"/>
        <v/>
      </c>
      <c r="U23" s="58" t="str">
        <f t="shared" ca="1" si="4"/>
        <v/>
      </c>
      <c r="V23" s="58" t="str">
        <f t="shared" ca="1" si="4"/>
        <v/>
      </c>
      <c r="W23" s="58" t="str">
        <f t="shared" ca="1" si="4"/>
        <v/>
      </c>
      <c r="X23" s="58" t="str">
        <f t="shared" ca="1" si="4"/>
        <v/>
      </c>
      <c r="Y23" s="58" t="str">
        <f t="shared" ca="1" si="4"/>
        <v/>
      </c>
      <c r="Z23" s="58" t="str">
        <f t="shared" ca="1" si="4"/>
        <v/>
      </c>
      <c r="AA23" s="58" t="str">
        <f t="shared" ca="1" si="4"/>
        <v/>
      </c>
      <c r="AB23" s="58" t="str">
        <f t="shared" ref="AB23:AQ32" ca="1" si="14">IF(
    $F23="",
    "",
    IF(
        $F23="マイルストーン",
        IF(DATE(YEAR(AB$5),MONTH(AB$5),DAY(AB$5))=$I23,"▲",""),
        IF(
            AND(DATE(YEAR($I23),MONTH($I23),DAY($I23))&lt;=AB$5,AB$5&lt;=$J23),
            calendarHowSpend($I23,$C23,$H23&amp;"",AB$5)/$J$3,
            ""
        )
    )
)</f>
        <v/>
      </c>
      <c r="AC23" s="58" t="str">
        <f t="shared" ca="1" si="5"/>
        <v/>
      </c>
      <c r="AD23" s="58" t="str">
        <f t="shared" ca="1" si="5"/>
        <v/>
      </c>
      <c r="AE23" s="58" t="str">
        <f t="shared" ca="1" si="5"/>
        <v/>
      </c>
      <c r="AF23" s="58" t="str">
        <f t="shared" ca="1" si="5"/>
        <v/>
      </c>
      <c r="AG23" s="58" t="str">
        <f t="shared" ca="1" si="5"/>
        <v/>
      </c>
      <c r="AH23" s="58" t="str">
        <f t="shared" ca="1" si="5"/>
        <v/>
      </c>
      <c r="AI23" s="58" t="str">
        <f t="shared" ca="1" si="5"/>
        <v/>
      </c>
      <c r="AJ23" s="58" t="str">
        <f t="shared" ca="1" si="5"/>
        <v/>
      </c>
      <c r="AK23" s="58" t="str">
        <f t="shared" ca="1" si="5"/>
        <v/>
      </c>
      <c r="AL23" s="58" t="str">
        <f t="shared" ca="1" si="5"/>
        <v/>
      </c>
      <c r="AM23" s="58" t="str">
        <f t="shared" ca="1" si="5"/>
        <v/>
      </c>
      <c r="AN23" s="58" t="str">
        <f t="shared" ca="1" si="5"/>
        <v/>
      </c>
      <c r="AO23" s="58">
        <f t="shared" ca="1" si="5"/>
        <v>1</v>
      </c>
      <c r="AP23" s="58">
        <f t="shared" ca="1" si="5"/>
        <v>2</v>
      </c>
      <c r="AQ23" s="58">
        <f t="shared" ca="1" si="5"/>
        <v>3</v>
      </c>
      <c r="AR23" s="58">
        <f t="shared" ref="AR23:BG32" ca="1" si="15">IF(
    $F23="",
    "",
    IF(
        $F23="マイルストーン",
        IF(DATE(YEAR(AR$5),MONTH(AR$5),DAY(AR$5))=$I23,"▲",""),
        IF(
            AND(DATE(YEAR($I23),MONTH($I23),DAY($I23))&lt;=AR$5,AR$5&lt;=$J23),
            calendarHowSpend($I23,$C23,$H23&amp;"",AR$5)/$J$3,
            ""
        )
    )
)</f>
        <v>4</v>
      </c>
      <c r="AS23" s="58">
        <f t="shared" ca="1" si="6"/>
        <v>5</v>
      </c>
      <c r="AT23" s="58">
        <f t="shared" ca="1" si="6"/>
        <v>6</v>
      </c>
      <c r="AU23" s="58" t="str">
        <f t="shared" ca="1" si="6"/>
        <v/>
      </c>
      <c r="AV23" s="58" t="str">
        <f t="shared" ca="1" si="6"/>
        <v/>
      </c>
      <c r="AW23" s="58" t="str">
        <f t="shared" ca="1" si="6"/>
        <v/>
      </c>
      <c r="AX23" s="58" t="str">
        <f t="shared" ca="1" si="6"/>
        <v/>
      </c>
      <c r="AY23" s="58" t="str">
        <f t="shared" ca="1" si="6"/>
        <v/>
      </c>
      <c r="AZ23" s="58" t="str">
        <f t="shared" ca="1" si="6"/>
        <v/>
      </c>
      <c r="BA23" s="58" t="str">
        <f t="shared" ca="1" si="6"/>
        <v/>
      </c>
      <c r="BB23" s="58" t="str">
        <f t="shared" ca="1" si="6"/>
        <v/>
      </c>
      <c r="BC23" s="58" t="str">
        <f t="shared" ca="1" si="6"/>
        <v/>
      </c>
      <c r="BD23" s="58" t="str">
        <f t="shared" ca="1" si="6"/>
        <v/>
      </c>
      <c r="BE23" s="58" t="str">
        <f t="shared" ca="1" si="6"/>
        <v/>
      </c>
      <c r="BF23" s="58" t="str">
        <f t="shared" ca="1" si="6"/>
        <v/>
      </c>
      <c r="BG23" s="58" t="str">
        <f t="shared" ca="1" si="6"/>
        <v/>
      </c>
      <c r="BH23" s="58" t="str">
        <f t="shared" ref="BH23:BO32" ca="1" si="16">IF(
    $F23="",
    "",
    IF(
        $F23="マイルストーン",
        IF(DATE(YEAR(BH$5),MONTH(BH$5),DAY(BH$5))=$I23,"▲",""),
        IF(
            AND(DATE(YEAR($I23),MONTH($I23),DAY($I23))&lt;=BH$5,BH$5&lt;=$J23),
            calendarHowSpend($I23,$C23,$H23&amp;"",BH$5)/$J$3,
            ""
        )
    )
)</f>
        <v/>
      </c>
      <c r="BI23" s="58" t="str">
        <f t="shared" ca="1" si="7"/>
        <v/>
      </c>
      <c r="BJ23" s="58" t="str">
        <f t="shared" ca="1" si="7"/>
        <v/>
      </c>
      <c r="BK23" s="58" t="str">
        <f t="shared" ca="1" si="7"/>
        <v/>
      </c>
      <c r="BL23" s="58" t="str">
        <f t="shared" ca="1" si="7"/>
        <v/>
      </c>
      <c r="BM23" s="58" t="str">
        <f t="shared" ca="1" si="7"/>
        <v/>
      </c>
      <c r="BN23" s="58" t="str">
        <f t="shared" ca="1" si="7"/>
        <v/>
      </c>
      <c r="BO23" s="58" t="str">
        <f t="shared" ca="1" si="7"/>
        <v/>
      </c>
    </row>
    <row r="24" spans="1:67" s="26" customFormat="1" ht="30" customHeight="1" x14ac:dyDescent="0.25">
      <c r="A24" s="23"/>
      <c r="B24" s="48" t="s">
        <v>18</v>
      </c>
      <c r="C24" s="45"/>
      <c r="D24" s="45"/>
      <c r="E24" s="50"/>
      <c r="F24" s="42" t="s">
        <v>71</v>
      </c>
      <c r="G24" s="42"/>
      <c r="H24" s="46" t="str">
        <f t="shared" si="13"/>
        <v>'Calendar (休みなし)'!A2:B367</v>
      </c>
      <c r="I24" s="67">
        <v>44016</v>
      </c>
      <c r="J24" s="70"/>
      <c r="K24" s="24"/>
      <c r="L24" s="58" t="str">
        <f t="shared" ca="1" si="8"/>
        <v/>
      </c>
      <c r="M24" s="58" t="str">
        <f t="shared" ca="1" si="8"/>
        <v/>
      </c>
      <c r="N24" s="58" t="str">
        <f t="shared" ca="1" si="8"/>
        <v/>
      </c>
      <c r="O24" s="58" t="str">
        <f t="shared" ca="1" si="8"/>
        <v/>
      </c>
      <c r="P24" s="58" t="str">
        <f t="shared" ca="1" si="8"/>
        <v/>
      </c>
      <c r="Q24" s="58" t="str">
        <f t="shared" ca="1" si="8"/>
        <v/>
      </c>
      <c r="R24" s="58" t="str">
        <f t="shared" ca="1" si="8"/>
        <v/>
      </c>
      <c r="S24" s="58" t="str">
        <f t="shared" ca="1" si="8"/>
        <v/>
      </c>
      <c r="T24" s="58" t="str">
        <f t="shared" ca="1" si="8"/>
        <v/>
      </c>
      <c r="U24" s="58" t="str">
        <f t="shared" ca="1" si="8"/>
        <v/>
      </c>
      <c r="V24" s="58" t="str">
        <f t="shared" ca="1" si="8"/>
        <v/>
      </c>
      <c r="W24" s="58" t="str">
        <f t="shared" ca="1" si="8"/>
        <v/>
      </c>
      <c r="X24" s="58" t="str">
        <f t="shared" ca="1" si="8"/>
        <v/>
      </c>
      <c r="Y24" s="58" t="str">
        <f t="shared" ca="1" si="8"/>
        <v/>
      </c>
      <c r="Z24" s="58" t="str">
        <f t="shared" ca="1" si="8"/>
        <v/>
      </c>
      <c r="AA24" s="58" t="str">
        <f t="shared" ca="1" si="8"/>
        <v/>
      </c>
      <c r="AB24" s="58" t="str">
        <f t="shared" ca="1" si="14"/>
        <v/>
      </c>
      <c r="AC24" s="58" t="str">
        <f t="shared" ca="1" si="14"/>
        <v/>
      </c>
      <c r="AD24" s="58" t="str">
        <f t="shared" ca="1" si="14"/>
        <v/>
      </c>
      <c r="AE24" s="58" t="str">
        <f t="shared" ca="1" si="14"/>
        <v/>
      </c>
      <c r="AF24" s="58" t="str">
        <f t="shared" ca="1" si="14"/>
        <v/>
      </c>
      <c r="AG24" s="58" t="str">
        <f t="shared" ca="1" si="14"/>
        <v/>
      </c>
      <c r="AH24" s="58" t="str">
        <f t="shared" ca="1" si="14"/>
        <v/>
      </c>
      <c r="AI24" s="58" t="str">
        <f t="shared" ca="1" si="14"/>
        <v/>
      </c>
      <c r="AJ24" s="58" t="str">
        <f t="shared" ca="1" si="14"/>
        <v/>
      </c>
      <c r="AK24" s="58" t="str">
        <f t="shared" ca="1" si="14"/>
        <v/>
      </c>
      <c r="AL24" s="58" t="str">
        <f t="shared" ca="1" si="14"/>
        <v/>
      </c>
      <c r="AM24" s="58" t="str">
        <f t="shared" ca="1" si="14"/>
        <v/>
      </c>
      <c r="AN24" s="58" t="str">
        <f t="shared" ca="1" si="14"/>
        <v/>
      </c>
      <c r="AO24" s="58" t="str">
        <f t="shared" ca="1" si="14"/>
        <v/>
      </c>
      <c r="AP24" s="58" t="str">
        <f t="shared" ca="1" si="14"/>
        <v/>
      </c>
      <c r="AQ24" s="58" t="str">
        <f t="shared" ca="1" si="14"/>
        <v/>
      </c>
      <c r="AR24" s="58" t="str">
        <f t="shared" ca="1" si="15"/>
        <v/>
      </c>
      <c r="AS24" s="58" t="str">
        <f t="shared" ca="1" si="15"/>
        <v>▲</v>
      </c>
      <c r="AT24" s="58" t="str">
        <f t="shared" ca="1" si="15"/>
        <v/>
      </c>
      <c r="AU24" s="58" t="str">
        <f t="shared" ca="1" si="15"/>
        <v/>
      </c>
      <c r="AV24" s="58" t="str">
        <f t="shared" ca="1" si="15"/>
        <v/>
      </c>
      <c r="AW24" s="58" t="str">
        <f t="shared" ca="1" si="15"/>
        <v/>
      </c>
      <c r="AX24" s="58" t="str">
        <f t="shared" ca="1" si="15"/>
        <v/>
      </c>
      <c r="AY24" s="58" t="str">
        <f t="shared" ca="1" si="15"/>
        <v/>
      </c>
      <c r="AZ24" s="58" t="str">
        <f t="shared" ca="1" si="15"/>
        <v/>
      </c>
      <c r="BA24" s="58" t="str">
        <f t="shared" ca="1" si="15"/>
        <v/>
      </c>
      <c r="BB24" s="58" t="str">
        <f t="shared" ca="1" si="15"/>
        <v/>
      </c>
      <c r="BC24" s="58" t="str">
        <f t="shared" ca="1" si="15"/>
        <v/>
      </c>
      <c r="BD24" s="58" t="str">
        <f t="shared" ca="1" si="15"/>
        <v/>
      </c>
      <c r="BE24" s="58" t="str">
        <f t="shared" ca="1" si="15"/>
        <v/>
      </c>
      <c r="BF24" s="58" t="str">
        <f t="shared" ca="1" si="15"/>
        <v/>
      </c>
      <c r="BG24" s="58" t="str">
        <f t="shared" ca="1" si="15"/>
        <v/>
      </c>
      <c r="BH24" s="58" t="str">
        <f t="shared" ca="1" si="16"/>
        <v/>
      </c>
      <c r="BI24" s="58" t="str">
        <f t="shared" ca="1" si="16"/>
        <v/>
      </c>
      <c r="BJ24" s="58" t="str">
        <f t="shared" ca="1" si="16"/>
        <v/>
      </c>
      <c r="BK24" s="58" t="str">
        <f t="shared" ca="1" si="16"/>
        <v/>
      </c>
      <c r="BL24" s="58" t="str">
        <f t="shared" ca="1" si="16"/>
        <v/>
      </c>
      <c r="BM24" s="58" t="str">
        <f t="shared" ca="1" si="16"/>
        <v/>
      </c>
      <c r="BN24" s="58" t="str">
        <f t="shared" ca="1" si="16"/>
        <v/>
      </c>
      <c r="BO24" s="58" t="str">
        <f t="shared" ca="1" si="16"/>
        <v/>
      </c>
    </row>
    <row r="25" spans="1:67" s="26" customFormat="1" ht="30" customHeight="1" x14ac:dyDescent="0.25">
      <c r="A25" s="23"/>
      <c r="B25" s="44" t="s">
        <v>19</v>
      </c>
      <c r="C25" s="45">
        <v>152</v>
      </c>
      <c r="D25" s="45"/>
      <c r="E25" s="47"/>
      <c r="F25" s="46" t="s">
        <v>25</v>
      </c>
      <c r="G25" s="46"/>
      <c r="H25" s="46" t="str">
        <f t="shared" si="13"/>
        <v>'Calendar (休みなし)'!A2:B367</v>
      </c>
      <c r="I25" s="69">
        <v>43984</v>
      </c>
      <c r="J25" s="70">
        <f t="shared" si="11"/>
        <v>44002.333333333336</v>
      </c>
      <c r="K25" s="24"/>
      <c r="L25" s="58" t="str">
        <f t="shared" ref="L25:AA32" ca="1" si="17">IF(
    $F25="",
    "",
    IF(
        $F25="マイルストーン",
        IF(DATE(YEAR(L$5),MONTH(L$5),DAY(L$5))=$I25,"▲",""),
        IF(
            AND(DATE(YEAR($I25),MONTH($I25),DAY($I25))&lt;=L$5,L$5&lt;=$J25),
            calendarHowSpend($I25,$C25,$H25&amp;"",L$5)/$J$3,
            ""
        )
    )
)</f>
        <v/>
      </c>
      <c r="M25" s="58">
        <f t="shared" ca="1" si="17"/>
        <v>1</v>
      </c>
      <c r="N25" s="58">
        <f t="shared" ca="1" si="17"/>
        <v>2</v>
      </c>
      <c r="O25" s="58">
        <f t="shared" ca="1" si="17"/>
        <v>3</v>
      </c>
      <c r="P25" s="58">
        <f t="shared" ca="1" si="17"/>
        <v>4</v>
      </c>
      <c r="Q25" s="58">
        <f t="shared" ca="1" si="17"/>
        <v>5</v>
      </c>
      <c r="R25" s="58">
        <f t="shared" ca="1" si="17"/>
        <v>6</v>
      </c>
      <c r="S25" s="58">
        <f t="shared" ca="1" si="17"/>
        <v>7</v>
      </c>
      <c r="T25" s="58">
        <f t="shared" ca="1" si="17"/>
        <v>8</v>
      </c>
      <c r="U25" s="58">
        <f t="shared" ca="1" si="17"/>
        <v>9</v>
      </c>
      <c r="V25" s="58">
        <f t="shared" ca="1" si="17"/>
        <v>10</v>
      </c>
      <c r="W25" s="58">
        <f t="shared" ca="1" si="17"/>
        <v>11</v>
      </c>
      <c r="X25" s="58">
        <f t="shared" ca="1" si="17"/>
        <v>12</v>
      </c>
      <c r="Y25" s="58">
        <f t="shared" ca="1" si="17"/>
        <v>13</v>
      </c>
      <c r="Z25" s="58">
        <f t="shared" ca="1" si="17"/>
        <v>14</v>
      </c>
      <c r="AA25" s="58">
        <f t="shared" ca="1" si="17"/>
        <v>15</v>
      </c>
      <c r="AB25" s="58">
        <f t="shared" ca="1" si="14"/>
        <v>16</v>
      </c>
      <c r="AC25" s="58">
        <f t="shared" ca="1" si="14"/>
        <v>17</v>
      </c>
      <c r="AD25" s="58">
        <f t="shared" ca="1" si="14"/>
        <v>18</v>
      </c>
      <c r="AE25" s="58">
        <f t="shared" ca="1" si="14"/>
        <v>19</v>
      </c>
      <c r="AF25" s="58" t="str">
        <f t="shared" ca="1" si="14"/>
        <v/>
      </c>
      <c r="AG25" s="58" t="str">
        <f t="shared" ca="1" si="14"/>
        <v/>
      </c>
      <c r="AH25" s="58" t="str">
        <f t="shared" ca="1" si="14"/>
        <v/>
      </c>
      <c r="AI25" s="58" t="str">
        <f t="shared" ca="1" si="14"/>
        <v/>
      </c>
      <c r="AJ25" s="58" t="str">
        <f t="shared" ca="1" si="14"/>
        <v/>
      </c>
      <c r="AK25" s="58" t="str">
        <f t="shared" ca="1" si="14"/>
        <v/>
      </c>
      <c r="AL25" s="58" t="str">
        <f t="shared" ca="1" si="14"/>
        <v/>
      </c>
      <c r="AM25" s="58" t="str">
        <f t="shared" ca="1" si="14"/>
        <v/>
      </c>
      <c r="AN25" s="58" t="str">
        <f t="shared" ca="1" si="14"/>
        <v/>
      </c>
      <c r="AO25" s="58" t="str">
        <f t="shared" ca="1" si="14"/>
        <v/>
      </c>
      <c r="AP25" s="58" t="str">
        <f t="shared" ca="1" si="14"/>
        <v/>
      </c>
      <c r="AQ25" s="58" t="str">
        <f t="shared" ca="1" si="14"/>
        <v/>
      </c>
      <c r="AR25" s="58" t="str">
        <f t="shared" ca="1" si="15"/>
        <v/>
      </c>
      <c r="AS25" s="58" t="str">
        <f t="shared" ca="1" si="15"/>
        <v/>
      </c>
      <c r="AT25" s="58" t="str">
        <f t="shared" ca="1" si="15"/>
        <v/>
      </c>
      <c r="AU25" s="58" t="str">
        <f t="shared" ca="1" si="15"/>
        <v/>
      </c>
      <c r="AV25" s="58" t="str">
        <f t="shared" ca="1" si="15"/>
        <v/>
      </c>
      <c r="AW25" s="58" t="str">
        <f t="shared" ca="1" si="15"/>
        <v/>
      </c>
      <c r="AX25" s="58" t="str">
        <f t="shared" ca="1" si="15"/>
        <v/>
      </c>
      <c r="AY25" s="58" t="str">
        <f t="shared" ca="1" si="15"/>
        <v/>
      </c>
      <c r="AZ25" s="58" t="str">
        <f t="shared" ca="1" si="15"/>
        <v/>
      </c>
      <c r="BA25" s="58" t="str">
        <f t="shared" ca="1" si="15"/>
        <v/>
      </c>
      <c r="BB25" s="58" t="str">
        <f t="shared" ca="1" si="15"/>
        <v/>
      </c>
      <c r="BC25" s="58" t="str">
        <f t="shared" ca="1" si="15"/>
        <v/>
      </c>
      <c r="BD25" s="58" t="str">
        <f t="shared" ca="1" si="15"/>
        <v/>
      </c>
      <c r="BE25" s="58" t="str">
        <f t="shared" ca="1" si="15"/>
        <v/>
      </c>
      <c r="BF25" s="58" t="str">
        <f t="shared" ca="1" si="15"/>
        <v/>
      </c>
      <c r="BG25" s="58" t="str">
        <f t="shared" ca="1" si="15"/>
        <v/>
      </c>
      <c r="BH25" s="58" t="str">
        <f t="shared" ca="1" si="16"/>
        <v/>
      </c>
      <c r="BI25" s="58" t="str">
        <f t="shared" ca="1" si="16"/>
        <v/>
      </c>
      <c r="BJ25" s="58" t="str">
        <f t="shared" ca="1" si="16"/>
        <v/>
      </c>
      <c r="BK25" s="58" t="str">
        <f t="shared" ca="1" si="16"/>
        <v/>
      </c>
      <c r="BL25" s="58" t="str">
        <f t="shared" ca="1" si="16"/>
        <v/>
      </c>
      <c r="BM25" s="58" t="str">
        <f t="shared" ca="1" si="16"/>
        <v/>
      </c>
      <c r="BN25" s="58" t="str">
        <f t="shared" ca="1" si="16"/>
        <v/>
      </c>
      <c r="BO25" s="58" t="str">
        <f t="shared" ca="1" si="16"/>
        <v/>
      </c>
    </row>
    <row r="26" spans="1:67" s="26" customFormat="1" ht="30" customHeight="1" x14ac:dyDescent="0.25">
      <c r="A26" s="23"/>
      <c r="B26" s="40" t="s">
        <v>22</v>
      </c>
      <c r="C26" s="41"/>
      <c r="D26" s="41"/>
      <c r="E26" s="43"/>
      <c r="F26" s="42"/>
      <c r="G26" s="42"/>
      <c r="H26" s="42"/>
      <c r="I26" s="67"/>
      <c r="J26" s="68"/>
      <c r="K26" s="24"/>
      <c r="L26" s="58" t="str">
        <f t="shared" si="17"/>
        <v/>
      </c>
      <c r="M26" s="58" t="str">
        <f t="shared" si="17"/>
        <v/>
      </c>
      <c r="N26" s="58" t="str">
        <f t="shared" si="17"/>
        <v/>
      </c>
      <c r="O26" s="58" t="str">
        <f t="shared" si="17"/>
        <v/>
      </c>
      <c r="P26" s="58" t="str">
        <f t="shared" si="17"/>
        <v/>
      </c>
      <c r="Q26" s="58" t="str">
        <f t="shared" si="17"/>
        <v/>
      </c>
      <c r="R26" s="58" t="str">
        <f t="shared" si="17"/>
        <v/>
      </c>
      <c r="S26" s="58" t="str">
        <f t="shared" si="17"/>
        <v/>
      </c>
      <c r="T26" s="58" t="str">
        <f t="shared" si="17"/>
        <v/>
      </c>
      <c r="U26" s="58" t="str">
        <f t="shared" si="17"/>
        <v/>
      </c>
      <c r="V26" s="58" t="str">
        <f t="shared" si="17"/>
        <v/>
      </c>
      <c r="W26" s="58" t="str">
        <f t="shared" si="17"/>
        <v/>
      </c>
      <c r="X26" s="58" t="str">
        <f t="shared" si="17"/>
        <v/>
      </c>
      <c r="Y26" s="58" t="str">
        <f t="shared" si="17"/>
        <v/>
      </c>
      <c r="Z26" s="58" t="str">
        <f t="shared" si="17"/>
        <v/>
      </c>
      <c r="AA26" s="58" t="str">
        <f t="shared" si="17"/>
        <v/>
      </c>
      <c r="AB26" s="58" t="str">
        <f t="shared" si="14"/>
        <v/>
      </c>
      <c r="AC26" s="58" t="str">
        <f t="shared" si="14"/>
        <v/>
      </c>
      <c r="AD26" s="58" t="str">
        <f t="shared" si="14"/>
        <v/>
      </c>
      <c r="AE26" s="58" t="str">
        <f t="shared" si="14"/>
        <v/>
      </c>
      <c r="AF26" s="58" t="str">
        <f t="shared" si="14"/>
        <v/>
      </c>
      <c r="AG26" s="58" t="str">
        <f t="shared" si="14"/>
        <v/>
      </c>
      <c r="AH26" s="58" t="str">
        <f t="shared" si="14"/>
        <v/>
      </c>
      <c r="AI26" s="58" t="str">
        <f t="shared" si="14"/>
        <v/>
      </c>
      <c r="AJ26" s="58" t="str">
        <f t="shared" si="14"/>
        <v/>
      </c>
      <c r="AK26" s="58" t="str">
        <f t="shared" si="14"/>
        <v/>
      </c>
      <c r="AL26" s="58" t="str">
        <f t="shared" si="14"/>
        <v/>
      </c>
      <c r="AM26" s="58" t="str">
        <f t="shared" si="14"/>
        <v/>
      </c>
      <c r="AN26" s="58" t="str">
        <f t="shared" si="14"/>
        <v/>
      </c>
      <c r="AO26" s="58" t="str">
        <f t="shared" si="14"/>
        <v/>
      </c>
      <c r="AP26" s="58" t="str">
        <f t="shared" si="14"/>
        <v/>
      </c>
      <c r="AQ26" s="58" t="str">
        <f t="shared" si="14"/>
        <v/>
      </c>
      <c r="AR26" s="58" t="str">
        <f t="shared" si="15"/>
        <v/>
      </c>
      <c r="AS26" s="58" t="str">
        <f t="shared" si="15"/>
        <v/>
      </c>
      <c r="AT26" s="58" t="str">
        <f t="shared" si="15"/>
        <v/>
      </c>
      <c r="AU26" s="58" t="str">
        <f t="shared" si="15"/>
        <v/>
      </c>
      <c r="AV26" s="58" t="str">
        <f t="shared" si="15"/>
        <v/>
      </c>
      <c r="AW26" s="58" t="str">
        <f t="shared" si="15"/>
        <v/>
      </c>
      <c r="AX26" s="58" t="str">
        <f t="shared" si="15"/>
        <v/>
      </c>
      <c r="AY26" s="58" t="str">
        <f t="shared" si="15"/>
        <v/>
      </c>
      <c r="AZ26" s="58" t="str">
        <f t="shared" si="15"/>
        <v/>
      </c>
      <c r="BA26" s="58" t="str">
        <f t="shared" si="15"/>
        <v/>
      </c>
      <c r="BB26" s="58" t="str">
        <f t="shared" si="15"/>
        <v/>
      </c>
      <c r="BC26" s="58" t="str">
        <f t="shared" si="15"/>
        <v/>
      </c>
      <c r="BD26" s="58" t="str">
        <f t="shared" si="15"/>
        <v/>
      </c>
      <c r="BE26" s="58" t="str">
        <f t="shared" si="15"/>
        <v/>
      </c>
      <c r="BF26" s="58" t="str">
        <f t="shared" si="15"/>
        <v/>
      </c>
      <c r="BG26" s="58" t="str">
        <f t="shared" si="15"/>
        <v/>
      </c>
      <c r="BH26" s="58" t="str">
        <f t="shared" si="16"/>
        <v/>
      </c>
      <c r="BI26" s="58" t="str">
        <f t="shared" si="16"/>
        <v/>
      </c>
      <c r="BJ26" s="58" t="str">
        <f t="shared" si="16"/>
        <v/>
      </c>
      <c r="BK26" s="58" t="str">
        <f t="shared" si="16"/>
        <v/>
      </c>
      <c r="BL26" s="58" t="str">
        <f t="shared" si="16"/>
        <v/>
      </c>
      <c r="BM26" s="58" t="str">
        <f t="shared" si="16"/>
        <v/>
      </c>
      <c r="BN26" s="58" t="str">
        <f t="shared" si="16"/>
        <v/>
      </c>
      <c r="BO26" s="58" t="str">
        <f t="shared" si="16"/>
        <v/>
      </c>
    </row>
    <row r="27" spans="1:67" s="26" customFormat="1" ht="30" customHeight="1" x14ac:dyDescent="0.25">
      <c r="A27" s="23"/>
      <c r="B27" s="44" t="s">
        <v>15</v>
      </c>
      <c r="C27" s="45"/>
      <c r="D27" s="45"/>
      <c r="E27" s="47"/>
      <c r="F27" s="46"/>
      <c r="G27" s="46"/>
      <c r="H27" s="46"/>
      <c r="I27" s="69"/>
      <c r="J27" s="70"/>
      <c r="K27" s="24"/>
      <c r="L27" s="58" t="str">
        <f t="shared" si="17"/>
        <v/>
      </c>
      <c r="M27" s="58" t="str">
        <f t="shared" si="17"/>
        <v/>
      </c>
      <c r="N27" s="58" t="str">
        <f t="shared" si="17"/>
        <v/>
      </c>
      <c r="O27" s="58" t="str">
        <f t="shared" si="17"/>
        <v/>
      </c>
      <c r="P27" s="58" t="str">
        <f t="shared" si="17"/>
        <v/>
      </c>
      <c r="Q27" s="58" t="str">
        <f t="shared" si="17"/>
        <v/>
      </c>
      <c r="R27" s="58" t="str">
        <f t="shared" si="17"/>
        <v/>
      </c>
      <c r="S27" s="58" t="str">
        <f t="shared" si="17"/>
        <v/>
      </c>
      <c r="T27" s="58" t="str">
        <f t="shared" si="17"/>
        <v/>
      </c>
      <c r="U27" s="58" t="str">
        <f t="shared" si="17"/>
        <v/>
      </c>
      <c r="V27" s="58" t="str">
        <f t="shared" si="17"/>
        <v/>
      </c>
      <c r="W27" s="58" t="str">
        <f t="shared" si="17"/>
        <v/>
      </c>
      <c r="X27" s="58" t="str">
        <f t="shared" si="17"/>
        <v/>
      </c>
      <c r="Y27" s="58" t="str">
        <f t="shared" si="17"/>
        <v/>
      </c>
      <c r="Z27" s="58" t="str">
        <f t="shared" si="17"/>
        <v/>
      </c>
      <c r="AA27" s="58" t="str">
        <f t="shared" si="17"/>
        <v/>
      </c>
      <c r="AB27" s="58" t="str">
        <f t="shared" si="14"/>
        <v/>
      </c>
      <c r="AC27" s="58" t="str">
        <f t="shared" si="14"/>
        <v/>
      </c>
      <c r="AD27" s="58" t="str">
        <f t="shared" si="14"/>
        <v/>
      </c>
      <c r="AE27" s="58" t="str">
        <f t="shared" si="14"/>
        <v/>
      </c>
      <c r="AF27" s="58" t="str">
        <f t="shared" si="14"/>
        <v/>
      </c>
      <c r="AG27" s="58" t="str">
        <f t="shared" si="14"/>
        <v/>
      </c>
      <c r="AH27" s="58" t="str">
        <f t="shared" si="14"/>
        <v/>
      </c>
      <c r="AI27" s="58" t="str">
        <f t="shared" si="14"/>
        <v/>
      </c>
      <c r="AJ27" s="58" t="str">
        <f t="shared" si="14"/>
        <v/>
      </c>
      <c r="AK27" s="58" t="str">
        <f t="shared" si="14"/>
        <v/>
      </c>
      <c r="AL27" s="58" t="str">
        <f t="shared" si="14"/>
        <v/>
      </c>
      <c r="AM27" s="58" t="str">
        <f t="shared" si="14"/>
        <v/>
      </c>
      <c r="AN27" s="58" t="str">
        <f t="shared" si="14"/>
        <v/>
      </c>
      <c r="AO27" s="58" t="str">
        <f t="shared" si="14"/>
        <v/>
      </c>
      <c r="AP27" s="58" t="str">
        <f t="shared" si="14"/>
        <v/>
      </c>
      <c r="AQ27" s="58" t="str">
        <f t="shared" si="14"/>
        <v/>
      </c>
      <c r="AR27" s="58" t="str">
        <f t="shared" si="15"/>
        <v/>
      </c>
      <c r="AS27" s="58" t="str">
        <f t="shared" si="15"/>
        <v/>
      </c>
      <c r="AT27" s="58" t="str">
        <f t="shared" si="15"/>
        <v/>
      </c>
      <c r="AU27" s="58" t="str">
        <f t="shared" si="15"/>
        <v/>
      </c>
      <c r="AV27" s="58" t="str">
        <f t="shared" si="15"/>
        <v/>
      </c>
      <c r="AW27" s="58" t="str">
        <f t="shared" si="15"/>
        <v/>
      </c>
      <c r="AX27" s="58" t="str">
        <f t="shared" si="15"/>
        <v/>
      </c>
      <c r="AY27" s="58" t="str">
        <f t="shared" si="15"/>
        <v/>
      </c>
      <c r="AZ27" s="58" t="str">
        <f t="shared" si="15"/>
        <v/>
      </c>
      <c r="BA27" s="58" t="str">
        <f t="shared" si="15"/>
        <v/>
      </c>
      <c r="BB27" s="58" t="str">
        <f t="shared" si="15"/>
        <v/>
      </c>
      <c r="BC27" s="58" t="str">
        <f t="shared" si="15"/>
        <v/>
      </c>
      <c r="BD27" s="58" t="str">
        <f t="shared" si="15"/>
        <v/>
      </c>
      <c r="BE27" s="58" t="str">
        <f t="shared" si="15"/>
        <v/>
      </c>
      <c r="BF27" s="58" t="str">
        <f t="shared" si="15"/>
        <v/>
      </c>
      <c r="BG27" s="58" t="str">
        <f t="shared" si="15"/>
        <v/>
      </c>
      <c r="BH27" s="58" t="str">
        <f t="shared" si="16"/>
        <v/>
      </c>
      <c r="BI27" s="58" t="str">
        <f t="shared" si="16"/>
        <v/>
      </c>
      <c r="BJ27" s="58" t="str">
        <f t="shared" si="16"/>
        <v/>
      </c>
      <c r="BK27" s="58" t="str">
        <f t="shared" si="16"/>
        <v/>
      </c>
      <c r="BL27" s="58" t="str">
        <f t="shared" si="16"/>
        <v/>
      </c>
      <c r="BM27" s="58" t="str">
        <f t="shared" si="16"/>
        <v/>
      </c>
      <c r="BN27" s="58" t="str">
        <f t="shared" si="16"/>
        <v/>
      </c>
      <c r="BO27" s="58" t="str">
        <f t="shared" si="16"/>
        <v/>
      </c>
    </row>
    <row r="28" spans="1:67" s="26" customFormat="1" ht="30" customHeight="1" x14ac:dyDescent="0.25">
      <c r="A28" s="23"/>
      <c r="B28" s="48" t="s">
        <v>16</v>
      </c>
      <c r="C28" s="49"/>
      <c r="D28" s="49"/>
      <c r="E28" s="50"/>
      <c r="F28" s="42"/>
      <c r="G28" s="42"/>
      <c r="H28" s="42"/>
      <c r="I28" s="67"/>
      <c r="J28" s="71"/>
      <c r="K28" s="24"/>
      <c r="L28" s="58" t="str">
        <f t="shared" si="17"/>
        <v/>
      </c>
      <c r="M28" s="58" t="str">
        <f t="shared" si="17"/>
        <v/>
      </c>
      <c r="N28" s="58" t="str">
        <f t="shared" si="17"/>
        <v/>
      </c>
      <c r="O28" s="58" t="str">
        <f t="shared" si="17"/>
        <v/>
      </c>
      <c r="P28" s="58" t="str">
        <f t="shared" si="17"/>
        <v/>
      </c>
      <c r="Q28" s="58" t="str">
        <f t="shared" si="17"/>
        <v/>
      </c>
      <c r="R28" s="58" t="str">
        <f t="shared" si="17"/>
        <v/>
      </c>
      <c r="S28" s="58" t="str">
        <f t="shared" si="17"/>
        <v/>
      </c>
      <c r="T28" s="58" t="str">
        <f t="shared" si="17"/>
        <v/>
      </c>
      <c r="U28" s="58" t="str">
        <f t="shared" si="17"/>
        <v/>
      </c>
      <c r="V28" s="58" t="str">
        <f t="shared" si="17"/>
        <v/>
      </c>
      <c r="W28" s="58" t="str">
        <f t="shared" si="17"/>
        <v/>
      </c>
      <c r="X28" s="58" t="str">
        <f t="shared" si="17"/>
        <v/>
      </c>
      <c r="Y28" s="58" t="str">
        <f t="shared" si="17"/>
        <v/>
      </c>
      <c r="Z28" s="58" t="str">
        <f t="shared" si="17"/>
        <v/>
      </c>
      <c r="AA28" s="58" t="str">
        <f t="shared" si="17"/>
        <v/>
      </c>
      <c r="AB28" s="58" t="str">
        <f t="shared" si="14"/>
        <v/>
      </c>
      <c r="AC28" s="58" t="str">
        <f t="shared" si="14"/>
        <v/>
      </c>
      <c r="AD28" s="58" t="str">
        <f t="shared" si="14"/>
        <v/>
      </c>
      <c r="AE28" s="58" t="str">
        <f t="shared" si="14"/>
        <v/>
      </c>
      <c r="AF28" s="58" t="str">
        <f t="shared" si="14"/>
        <v/>
      </c>
      <c r="AG28" s="58" t="str">
        <f t="shared" si="14"/>
        <v/>
      </c>
      <c r="AH28" s="58" t="str">
        <f t="shared" si="14"/>
        <v/>
      </c>
      <c r="AI28" s="58" t="str">
        <f t="shared" si="14"/>
        <v/>
      </c>
      <c r="AJ28" s="58" t="str">
        <f t="shared" si="14"/>
        <v/>
      </c>
      <c r="AK28" s="58" t="str">
        <f t="shared" si="14"/>
        <v/>
      </c>
      <c r="AL28" s="58" t="str">
        <f t="shared" si="14"/>
        <v/>
      </c>
      <c r="AM28" s="58" t="str">
        <f t="shared" si="14"/>
        <v/>
      </c>
      <c r="AN28" s="58" t="str">
        <f t="shared" si="14"/>
        <v/>
      </c>
      <c r="AO28" s="58" t="str">
        <f t="shared" si="14"/>
        <v/>
      </c>
      <c r="AP28" s="58" t="str">
        <f t="shared" si="14"/>
        <v/>
      </c>
      <c r="AQ28" s="58" t="str">
        <f t="shared" si="14"/>
        <v/>
      </c>
      <c r="AR28" s="58" t="str">
        <f t="shared" si="15"/>
        <v/>
      </c>
      <c r="AS28" s="58" t="str">
        <f t="shared" si="15"/>
        <v/>
      </c>
      <c r="AT28" s="58" t="str">
        <f t="shared" si="15"/>
        <v/>
      </c>
      <c r="AU28" s="58" t="str">
        <f t="shared" si="15"/>
        <v/>
      </c>
      <c r="AV28" s="58" t="str">
        <f t="shared" si="15"/>
        <v/>
      </c>
      <c r="AW28" s="58" t="str">
        <f t="shared" si="15"/>
        <v/>
      </c>
      <c r="AX28" s="58" t="str">
        <f t="shared" si="15"/>
        <v/>
      </c>
      <c r="AY28" s="58" t="str">
        <f t="shared" si="15"/>
        <v/>
      </c>
      <c r="AZ28" s="58" t="str">
        <f t="shared" si="15"/>
        <v/>
      </c>
      <c r="BA28" s="58" t="str">
        <f t="shared" si="15"/>
        <v/>
      </c>
      <c r="BB28" s="58" t="str">
        <f t="shared" si="15"/>
        <v/>
      </c>
      <c r="BC28" s="58" t="str">
        <f t="shared" si="15"/>
        <v/>
      </c>
      <c r="BD28" s="58" t="str">
        <f t="shared" si="15"/>
        <v/>
      </c>
      <c r="BE28" s="58" t="str">
        <f t="shared" si="15"/>
        <v/>
      </c>
      <c r="BF28" s="58" t="str">
        <f t="shared" si="15"/>
        <v/>
      </c>
      <c r="BG28" s="58" t="str">
        <f t="shared" si="15"/>
        <v/>
      </c>
      <c r="BH28" s="58" t="str">
        <f t="shared" si="16"/>
        <v/>
      </c>
      <c r="BI28" s="58" t="str">
        <f t="shared" si="16"/>
        <v/>
      </c>
      <c r="BJ28" s="58" t="str">
        <f t="shared" si="16"/>
        <v/>
      </c>
      <c r="BK28" s="58" t="str">
        <f t="shared" si="16"/>
        <v/>
      </c>
      <c r="BL28" s="58" t="str">
        <f t="shared" si="16"/>
        <v/>
      </c>
      <c r="BM28" s="58" t="str">
        <f t="shared" si="16"/>
        <v/>
      </c>
      <c r="BN28" s="58" t="str">
        <f t="shared" si="16"/>
        <v/>
      </c>
      <c r="BO28" s="58" t="str">
        <f t="shared" si="16"/>
        <v/>
      </c>
    </row>
    <row r="29" spans="1:67" s="26" customFormat="1" ht="30" customHeight="1" x14ac:dyDescent="0.25">
      <c r="A29" s="23"/>
      <c r="B29" s="44" t="s">
        <v>17</v>
      </c>
      <c r="C29" s="45"/>
      <c r="D29" s="45"/>
      <c r="E29" s="47"/>
      <c r="F29" s="46"/>
      <c r="G29" s="46"/>
      <c r="H29" s="46"/>
      <c r="I29" s="69"/>
      <c r="J29" s="70"/>
      <c r="K29" s="24"/>
      <c r="L29" s="58" t="str">
        <f t="shared" si="17"/>
        <v/>
      </c>
      <c r="M29" s="58" t="str">
        <f t="shared" si="17"/>
        <v/>
      </c>
      <c r="N29" s="58" t="str">
        <f t="shared" si="17"/>
        <v/>
      </c>
      <c r="O29" s="58" t="str">
        <f t="shared" si="17"/>
        <v/>
      </c>
      <c r="P29" s="58" t="str">
        <f t="shared" si="17"/>
        <v/>
      </c>
      <c r="Q29" s="58" t="str">
        <f t="shared" si="17"/>
        <v/>
      </c>
      <c r="R29" s="58" t="str">
        <f t="shared" si="17"/>
        <v/>
      </c>
      <c r="S29" s="58" t="str">
        <f t="shared" si="17"/>
        <v/>
      </c>
      <c r="T29" s="58" t="str">
        <f t="shared" si="17"/>
        <v/>
      </c>
      <c r="U29" s="58" t="str">
        <f t="shared" si="17"/>
        <v/>
      </c>
      <c r="V29" s="58" t="str">
        <f t="shared" si="17"/>
        <v/>
      </c>
      <c r="W29" s="58" t="str">
        <f t="shared" si="17"/>
        <v/>
      </c>
      <c r="X29" s="58" t="str">
        <f t="shared" si="17"/>
        <v/>
      </c>
      <c r="Y29" s="58" t="str">
        <f t="shared" si="17"/>
        <v/>
      </c>
      <c r="Z29" s="58" t="str">
        <f t="shared" si="17"/>
        <v/>
      </c>
      <c r="AA29" s="58" t="str">
        <f t="shared" si="17"/>
        <v/>
      </c>
      <c r="AB29" s="58" t="str">
        <f t="shared" si="14"/>
        <v/>
      </c>
      <c r="AC29" s="58" t="str">
        <f t="shared" si="14"/>
        <v/>
      </c>
      <c r="AD29" s="58" t="str">
        <f t="shared" si="14"/>
        <v/>
      </c>
      <c r="AE29" s="58" t="str">
        <f t="shared" si="14"/>
        <v/>
      </c>
      <c r="AF29" s="58" t="str">
        <f t="shared" si="14"/>
        <v/>
      </c>
      <c r="AG29" s="58" t="str">
        <f t="shared" si="14"/>
        <v/>
      </c>
      <c r="AH29" s="58" t="str">
        <f t="shared" si="14"/>
        <v/>
      </c>
      <c r="AI29" s="58" t="str">
        <f t="shared" si="14"/>
        <v/>
      </c>
      <c r="AJ29" s="58" t="str">
        <f t="shared" si="14"/>
        <v/>
      </c>
      <c r="AK29" s="58" t="str">
        <f t="shared" si="14"/>
        <v/>
      </c>
      <c r="AL29" s="58" t="str">
        <f t="shared" si="14"/>
        <v/>
      </c>
      <c r="AM29" s="58" t="str">
        <f t="shared" si="14"/>
        <v/>
      </c>
      <c r="AN29" s="58" t="str">
        <f t="shared" si="14"/>
        <v/>
      </c>
      <c r="AO29" s="58" t="str">
        <f t="shared" si="14"/>
        <v/>
      </c>
      <c r="AP29" s="58" t="str">
        <f t="shared" si="14"/>
        <v/>
      </c>
      <c r="AQ29" s="58" t="str">
        <f t="shared" si="14"/>
        <v/>
      </c>
      <c r="AR29" s="58" t="str">
        <f t="shared" si="15"/>
        <v/>
      </c>
      <c r="AS29" s="58" t="str">
        <f t="shared" si="15"/>
        <v/>
      </c>
      <c r="AT29" s="58" t="str">
        <f t="shared" si="15"/>
        <v/>
      </c>
      <c r="AU29" s="58" t="str">
        <f t="shared" si="15"/>
        <v/>
      </c>
      <c r="AV29" s="58" t="str">
        <f t="shared" si="15"/>
        <v/>
      </c>
      <c r="AW29" s="58" t="str">
        <f t="shared" si="15"/>
        <v/>
      </c>
      <c r="AX29" s="58" t="str">
        <f t="shared" si="15"/>
        <v/>
      </c>
      <c r="AY29" s="58" t="str">
        <f t="shared" si="15"/>
        <v/>
      </c>
      <c r="AZ29" s="58" t="str">
        <f t="shared" si="15"/>
        <v/>
      </c>
      <c r="BA29" s="58" t="str">
        <f t="shared" si="15"/>
        <v/>
      </c>
      <c r="BB29" s="58" t="str">
        <f t="shared" si="15"/>
        <v/>
      </c>
      <c r="BC29" s="58" t="str">
        <f t="shared" si="15"/>
        <v/>
      </c>
      <c r="BD29" s="58" t="str">
        <f t="shared" si="15"/>
        <v/>
      </c>
      <c r="BE29" s="58" t="str">
        <f t="shared" si="15"/>
        <v/>
      </c>
      <c r="BF29" s="58" t="str">
        <f t="shared" si="15"/>
        <v/>
      </c>
      <c r="BG29" s="58" t="str">
        <f t="shared" si="15"/>
        <v/>
      </c>
      <c r="BH29" s="58" t="str">
        <f t="shared" si="16"/>
        <v/>
      </c>
      <c r="BI29" s="58" t="str">
        <f t="shared" si="16"/>
        <v/>
      </c>
      <c r="BJ29" s="58" t="str">
        <f t="shared" si="16"/>
        <v/>
      </c>
      <c r="BK29" s="58" t="str">
        <f t="shared" si="16"/>
        <v/>
      </c>
      <c r="BL29" s="58" t="str">
        <f t="shared" si="16"/>
        <v/>
      </c>
      <c r="BM29" s="58" t="str">
        <f t="shared" si="16"/>
        <v/>
      </c>
      <c r="BN29" s="58" t="str">
        <f t="shared" si="16"/>
        <v/>
      </c>
      <c r="BO29" s="58" t="str">
        <f t="shared" si="16"/>
        <v/>
      </c>
    </row>
    <row r="30" spans="1:67" s="26" customFormat="1" ht="30" customHeight="1" x14ac:dyDescent="0.25">
      <c r="A30" s="23"/>
      <c r="B30" s="48" t="s">
        <v>18</v>
      </c>
      <c r="C30" s="49"/>
      <c r="D30" s="49"/>
      <c r="E30" s="50"/>
      <c r="F30" s="42"/>
      <c r="G30" s="42"/>
      <c r="H30" s="42"/>
      <c r="I30" s="67"/>
      <c r="J30" s="71"/>
      <c r="K30" s="24"/>
      <c r="L30" s="58" t="str">
        <f t="shared" si="17"/>
        <v/>
      </c>
      <c r="M30" s="58" t="str">
        <f t="shared" si="17"/>
        <v/>
      </c>
      <c r="N30" s="58" t="str">
        <f t="shared" si="17"/>
        <v/>
      </c>
      <c r="O30" s="58" t="str">
        <f t="shared" si="17"/>
        <v/>
      </c>
      <c r="P30" s="58" t="str">
        <f t="shared" si="17"/>
        <v/>
      </c>
      <c r="Q30" s="58" t="str">
        <f t="shared" si="17"/>
        <v/>
      </c>
      <c r="R30" s="58" t="str">
        <f t="shared" si="17"/>
        <v/>
      </c>
      <c r="S30" s="58" t="str">
        <f t="shared" si="17"/>
        <v/>
      </c>
      <c r="T30" s="58" t="str">
        <f t="shared" si="17"/>
        <v/>
      </c>
      <c r="U30" s="58" t="str">
        <f t="shared" si="17"/>
        <v/>
      </c>
      <c r="V30" s="58" t="str">
        <f t="shared" si="17"/>
        <v/>
      </c>
      <c r="W30" s="58" t="str">
        <f t="shared" si="17"/>
        <v/>
      </c>
      <c r="X30" s="58" t="str">
        <f t="shared" si="17"/>
        <v/>
      </c>
      <c r="Y30" s="58" t="str">
        <f t="shared" si="17"/>
        <v/>
      </c>
      <c r="Z30" s="58" t="str">
        <f t="shared" si="17"/>
        <v/>
      </c>
      <c r="AA30" s="58" t="str">
        <f t="shared" si="17"/>
        <v/>
      </c>
      <c r="AB30" s="58" t="str">
        <f t="shared" si="14"/>
        <v/>
      </c>
      <c r="AC30" s="58" t="str">
        <f t="shared" si="14"/>
        <v/>
      </c>
      <c r="AD30" s="58" t="str">
        <f t="shared" si="14"/>
        <v/>
      </c>
      <c r="AE30" s="58" t="str">
        <f t="shared" si="14"/>
        <v/>
      </c>
      <c r="AF30" s="58" t="str">
        <f t="shared" si="14"/>
        <v/>
      </c>
      <c r="AG30" s="58" t="str">
        <f t="shared" si="14"/>
        <v/>
      </c>
      <c r="AH30" s="58" t="str">
        <f t="shared" si="14"/>
        <v/>
      </c>
      <c r="AI30" s="58" t="str">
        <f t="shared" si="14"/>
        <v/>
      </c>
      <c r="AJ30" s="58" t="str">
        <f t="shared" si="14"/>
        <v/>
      </c>
      <c r="AK30" s="58" t="str">
        <f t="shared" si="14"/>
        <v/>
      </c>
      <c r="AL30" s="58" t="str">
        <f t="shared" si="14"/>
        <v/>
      </c>
      <c r="AM30" s="58" t="str">
        <f t="shared" si="14"/>
        <v/>
      </c>
      <c r="AN30" s="58" t="str">
        <f t="shared" si="14"/>
        <v/>
      </c>
      <c r="AO30" s="58" t="str">
        <f t="shared" si="14"/>
        <v/>
      </c>
      <c r="AP30" s="58" t="str">
        <f t="shared" si="14"/>
        <v/>
      </c>
      <c r="AQ30" s="58" t="str">
        <f t="shared" si="14"/>
        <v/>
      </c>
      <c r="AR30" s="58" t="str">
        <f t="shared" si="15"/>
        <v/>
      </c>
      <c r="AS30" s="58" t="str">
        <f t="shared" si="15"/>
        <v/>
      </c>
      <c r="AT30" s="58" t="str">
        <f t="shared" si="15"/>
        <v/>
      </c>
      <c r="AU30" s="58" t="str">
        <f t="shared" si="15"/>
        <v/>
      </c>
      <c r="AV30" s="58" t="str">
        <f t="shared" si="15"/>
        <v/>
      </c>
      <c r="AW30" s="58" t="str">
        <f t="shared" si="15"/>
        <v/>
      </c>
      <c r="AX30" s="58" t="str">
        <f t="shared" si="15"/>
        <v/>
      </c>
      <c r="AY30" s="58" t="str">
        <f t="shared" si="15"/>
        <v/>
      </c>
      <c r="AZ30" s="58" t="str">
        <f t="shared" si="15"/>
        <v/>
      </c>
      <c r="BA30" s="58" t="str">
        <f t="shared" si="15"/>
        <v/>
      </c>
      <c r="BB30" s="58" t="str">
        <f t="shared" si="15"/>
        <v/>
      </c>
      <c r="BC30" s="58" t="str">
        <f t="shared" si="15"/>
        <v/>
      </c>
      <c r="BD30" s="58" t="str">
        <f t="shared" si="15"/>
        <v/>
      </c>
      <c r="BE30" s="58" t="str">
        <f t="shared" si="15"/>
        <v/>
      </c>
      <c r="BF30" s="58" t="str">
        <f t="shared" si="15"/>
        <v/>
      </c>
      <c r="BG30" s="58" t="str">
        <f t="shared" si="15"/>
        <v/>
      </c>
      <c r="BH30" s="58" t="str">
        <f t="shared" si="16"/>
        <v/>
      </c>
      <c r="BI30" s="58" t="str">
        <f t="shared" si="16"/>
        <v/>
      </c>
      <c r="BJ30" s="58" t="str">
        <f t="shared" si="16"/>
        <v/>
      </c>
      <c r="BK30" s="58" t="str">
        <f t="shared" si="16"/>
        <v/>
      </c>
      <c r="BL30" s="58" t="str">
        <f t="shared" si="16"/>
        <v/>
      </c>
      <c r="BM30" s="58" t="str">
        <f t="shared" si="16"/>
        <v/>
      </c>
      <c r="BN30" s="58" t="str">
        <f t="shared" si="16"/>
        <v/>
      </c>
      <c r="BO30" s="58" t="str">
        <f t="shared" si="16"/>
        <v/>
      </c>
    </row>
    <row r="31" spans="1:67" s="26" customFormat="1" ht="30" customHeight="1" x14ac:dyDescent="0.25">
      <c r="A31" s="23"/>
      <c r="B31" s="44" t="s">
        <v>19</v>
      </c>
      <c r="C31" s="45"/>
      <c r="D31" s="45"/>
      <c r="E31" s="47"/>
      <c r="F31" s="46"/>
      <c r="G31" s="46"/>
      <c r="H31" s="46"/>
      <c r="I31" s="69"/>
      <c r="J31" s="70"/>
      <c r="K31" s="24"/>
      <c r="L31" s="58" t="str">
        <f t="shared" si="17"/>
        <v/>
      </c>
      <c r="M31" s="58" t="str">
        <f t="shared" si="17"/>
        <v/>
      </c>
      <c r="N31" s="58" t="str">
        <f t="shared" si="17"/>
        <v/>
      </c>
      <c r="O31" s="58" t="str">
        <f t="shared" si="17"/>
        <v/>
      </c>
      <c r="P31" s="58" t="str">
        <f t="shared" si="17"/>
        <v/>
      </c>
      <c r="Q31" s="58" t="str">
        <f t="shared" si="17"/>
        <v/>
      </c>
      <c r="R31" s="58" t="str">
        <f t="shared" si="17"/>
        <v/>
      </c>
      <c r="S31" s="58" t="str">
        <f t="shared" si="17"/>
        <v/>
      </c>
      <c r="T31" s="58" t="str">
        <f t="shared" si="17"/>
        <v/>
      </c>
      <c r="U31" s="58" t="str">
        <f t="shared" si="17"/>
        <v/>
      </c>
      <c r="V31" s="58" t="str">
        <f t="shared" si="17"/>
        <v/>
      </c>
      <c r="W31" s="58" t="str">
        <f t="shared" si="17"/>
        <v/>
      </c>
      <c r="X31" s="58" t="str">
        <f t="shared" si="17"/>
        <v/>
      </c>
      <c r="Y31" s="58" t="str">
        <f t="shared" si="17"/>
        <v/>
      </c>
      <c r="Z31" s="58" t="str">
        <f t="shared" si="17"/>
        <v/>
      </c>
      <c r="AA31" s="58" t="str">
        <f t="shared" si="17"/>
        <v/>
      </c>
      <c r="AB31" s="58" t="str">
        <f t="shared" si="14"/>
        <v/>
      </c>
      <c r="AC31" s="58" t="str">
        <f t="shared" si="14"/>
        <v/>
      </c>
      <c r="AD31" s="58" t="str">
        <f t="shared" si="14"/>
        <v/>
      </c>
      <c r="AE31" s="58" t="str">
        <f t="shared" si="14"/>
        <v/>
      </c>
      <c r="AF31" s="58" t="str">
        <f t="shared" si="14"/>
        <v/>
      </c>
      <c r="AG31" s="58" t="str">
        <f t="shared" si="14"/>
        <v/>
      </c>
      <c r="AH31" s="58" t="str">
        <f t="shared" si="14"/>
        <v/>
      </c>
      <c r="AI31" s="58" t="str">
        <f t="shared" si="14"/>
        <v/>
      </c>
      <c r="AJ31" s="58" t="str">
        <f t="shared" si="14"/>
        <v/>
      </c>
      <c r="AK31" s="58" t="str">
        <f t="shared" si="14"/>
        <v/>
      </c>
      <c r="AL31" s="58" t="str">
        <f t="shared" si="14"/>
        <v/>
      </c>
      <c r="AM31" s="58" t="str">
        <f t="shared" si="14"/>
        <v/>
      </c>
      <c r="AN31" s="58" t="str">
        <f t="shared" si="14"/>
        <v/>
      </c>
      <c r="AO31" s="58" t="str">
        <f t="shared" si="14"/>
        <v/>
      </c>
      <c r="AP31" s="58" t="str">
        <f t="shared" si="14"/>
        <v/>
      </c>
      <c r="AQ31" s="58" t="str">
        <f t="shared" si="14"/>
        <v/>
      </c>
      <c r="AR31" s="58" t="str">
        <f t="shared" si="15"/>
        <v/>
      </c>
      <c r="AS31" s="58" t="str">
        <f t="shared" si="15"/>
        <v/>
      </c>
      <c r="AT31" s="58" t="str">
        <f t="shared" si="15"/>
        <v/>
      </c>
      <c r="AU31" s="58" t="str">
        <f t="shared" si="15"/>
        <v/>
      </c>
      <c r="AV31" s="58" t="str">
        <f t="shared" si="15"/>
        <v/>
      </c>
      <c r="AW31" s="58" t="str">
        <f t="shared" si="15"/>
        <v/>
      </c>
      <c r="AX31" s="58" t="str">
        <f t="shared" si="15"/>
        <v/>
      </c>
      <c r="AY31" s="58" t="str">
        <f t="shared" si="15"/>
        <v/>
      </c>
      <c r="AZ31" s="58" t="str">
        <f t="shared" si="15"/>
        <v/>
      </c>
      <c r="BA31" s="58" t="str">
        <f t="shared" si="15"/>
        <v/>
      </c>
      <c r="BB31" s="58" t="str">
        <f t="shared" si="15"/>
        <v/>
      </c>
      <c r="BC31" s="58" t="str">
        <f t="shared" si="15"/>
        <v/>
      </c>
      <c r="BD31" s="58" t="str">
        <f t="shared" si="15"/>
        <v/>
      </c>
      <c r="BE31" s="58" t="str">
        <f t="shared" si="15"/>
        <v/>
      </c>
      <c r="BF31" s="58" t="str">
        <f t="shared" si="15"/>
        <v/>
      </c>
      <c r="BG31" s="58" t="str">
        <f t="shared" si="15"/>
        <v/>
      </c>
      <c r="BH31" s="58" t="str">
        <f t="shared" si="16"/>
        <v/>
      </c>
      <c r="BI31" s="58" t="str">
        <f t="shared" si="16"/>
        <v/>
      </c>
      <c r="BJ31" s="58" t="str">
        <f t="shared" si="16"/>
        <v/>
      </c>
      <c r="BK31" s="58" t="str">
        <f t="shared" si="16"/>
        <v/>
      </c>
      <c r="BL31" s="58" t="str">
        <f t="shared" si="16"/>
        <v/>
      </c>
      <c r="BM31" s="58" t="str">
        <f t="shared" si="16"/>
        <v/>
      </c>
      <c r="BN31" s="58" t="str">
        <f t="shared" si="16"/>
        <v/>
      </c>
      <c r="BO31" s="58" t="str">
        <f t="shared" si="16"/>
        <v/>
      </c>
    </row>
    <row r="32" spans="1:67" s="26" customFormat="1" ht="30" customHeight="1" x14ac:dyDescent="0.25">
      <c r="A32" s="23" t="s">
        <v>8</v>
      </c>
      <c r="B32" s="51"/>
      <c r="C32" s="52"/>
      <c r="D32" s="52"/>
      <c r="E32" s="54"/>
      <c r="F32" s="53"/>
      <c r="G32" s="53"/>
      <c r="H32" s="53"/>
      <c r="I32" s="72"/>
      <c r="J32" s="73"/>
      <c r="K32" s="24"/>
      <c r="L32" s="58" t="str">
        <f t="shared" si="17"/>
        <v/>
      </c>
      <c r="M32" s="58" t="str">
        <f t="shared" si="17"/>
        <v/>
      </c>
      <c r="N32" s="58" t="str">
        <f t="shared" si="17"/>
        <v/>
      </c>
      <c r="O32" s="58" t="str">
        <f t="shared" si="17"/>
        <v/>
      </c>
      <c r="P32" s="58" t="str">
        <f t="shared" si="17"/>
        <v/>
      </c>
      <c r="Q32" s="58" t="str">
        <f t="shared" si="17"/>
        <v/>
      </c>
      <c r="R32" s="58" t="str">
        <f t="shared" si="17"/>
        <v/>
      </c>
      <c r="S32" s="58" t="str">
        <f t="shared" si="17"/>
        <v/>
      </c>
      <c r="T32" s="58" t="str">
        <f t="shared" si="17"/>
        <v/>
      </c>
      <c r="U32" s="58" t="str">
        <f t="shared" si="17"/>
        <v/>
      </c>
      <c r="V32" s="58" t="str">
        <f t="shared" si="17"/>
        <v/>
      </c>
      <c r="W32" s="58" t="str">
        <f t="shared" si="17"/>
        <v/>
      </c>
      <c r="X32" s="58" t="str">
        <f t="shared" si="17"/>
        <v/>
      </c>
      <c r="Y32" s="58" t="str">
        <f t="shared" si="17"/>
        <v/>
      </c>
      <c r="Z32" s="58" t="str">
        <f t="shared" si="17"/>
        <v/>
      </c>
      <c r="AA32" s="58" t="str">
        <f t="shared" si="17"/>
        <v/>
      </c>
      <c r="AB32" s="58" t="str">
        <f t="shared" si="14"/>
        <v/>
      </c>
      <c r="AC32" s="58" t="str">
        <f t="shared" si="14"/>
        <v/>
      </c>
      <c r="AD32" s="58" t="str">
        <f t="shared" si="14"/>
        <v/>
      </c>
      <c r="AE32" s="58" t="str">
        <f t="shared" si="14"/>
        <v/>
      </c>
      <c r="AF32" s="58" t="str">
        <f t="shared" si="14"/>
        <v/>
      </c>
      <c r="AG32" s="58" t="str">
        <f t="shared" si="14"/>
        <v/>
      </c>
      <c r="AH32" s="58" t="str">
        <f t="shared" si="14"/>
        <v/>
      </c>
      <c r="AI32" s="58" t="str">
        <f t="shared" si="14"/>
        <v/>
      </c>
      <c r="AJ32" s="58" t="str">
        <f t="shared" si="14"/>
        <v/>
      </c>
      <c r="AK32" s="58" t="str">
        <f t="shared" si="14"/>
        <v/>
      </c>
      <c r="AL32" s="58" t="str">
        <f t="shared" si="14"/>
        <v/>
      </c>
      <c r="AM32" s="58" t="str">
        <f t="shared" si="14"/>
        <v/>
      </c>
      <c r="AN32" s="58" t="str">
        <f t="shared" si="14"/>
        <v/>
      </c>
      <c r="AO32" s="58" t="str">
        <f t="shared" si="14"/>
        <v/>
      </c>
      <c r="AP32" s="58" t="str">
        <f t="shared" si="14"/>
        <v/>
      </c>
      <c r="AQ32" s="58" t="str">
        <f t="shared" si="14"/>
        <v/>
      </c>
      <c r="AR32" s="58" t="str">
        <f t="shared" si="15"/>
        <v/>
      </c>
      <c r="AS32" s="58" t="str">
        <f t="shared" si="15"/>
        <v/>
      </c>
      <c r="AT32" s="58" t="str">
        <f t="shared" si="15"/>
        <v/>
      </c>
      <c r="AU32" s="58" t="str">
        <f t="shared" si="15"/>
        <v/>
      </c>
      <c r="AV32" s="58" t="str">
        <f t="shared" si="15"/>
        <v/>
      </c>
      <c r="AW32" s="58" t="str">
        <f t="shared" si="15"/>
        <v/>
      </c>
      <c r="AX32" s="58" t="str">
        <f t="shared" si="15"/>
        <v/>
      </c>
      <c r="AY32" s="58" t="str">
        <f t="shared" si="15"/>
        <v/>
      </c>
      <c r="AZ32" s="58" t="str">
        <f t="shared" si="15"/>
        <v/>
      </c>
      <c r="BA32" s="58" t="str">
        <f t="shared" si="15"/>
        <v/>
      </c>
      <c r="BB32" s="58" t="str">
        <f t="shared" si="15"/>
        <v/>
      </c>
      <c r="BC32" s="58" t="str">
        <f t="shared" si="15"/>
        <v/>
      </c>
      <c r="BD32" s="58" t="str">
        <f t="shared" si="15"/>
        <v/>
      </c>
      <c r="BE32" s="58" t="str">
        <f t="shared" si="15"/>
        <v/>
      </c>
      <c r="BF32" s="58" t="str">
        <f t="shared" si="15"/>
        <v/>
      </c>
      <c r="BG32" s="58" t="str">
        <f t="shared" si="15"/>
        <v/>
      </c>
      <c r="BH32" s="58" t="str">
        <f t="shared" si="16"/>
        <v/>
      </c>
      <c r="BI32" s="58" t="str">
        <f t="shared" si="16"/>
        <v/>
      </c>
      <c r="BJ32" s="58" t="str">
        <f t="shared" si="16"/>
        <v/>
      </c>
      <c r="BK32" s="58" t="str">
        <f t="shared" si="16"/>
        <v/>
      </c>
      <c r="BL32" s="58" t="str">
        <f t="shared" si="16"/>
        <v/>
      </c>
      <c r="BM32" s="58" t="str">
        <f t="shared" si="16"/>
        <v/>
      </c>
      <c r="BN32" s="58" t="str">
        <f t="shared" si="16"/>
        <v/>
      </c>
      <c r="BO32" s="58" t="str">
        <f t="shared" si="16"/>
        <v/>
      </c>
    </row>
    <row r="33" spans="1:67" s="26" customFormat="1" ht="30" customHeight="1" thickBot="1" x14ac:dyDescent="0.3">
      <c r="A33" s="2" t="s">
        <v>9</v>
      </c>
      <c r="B33" s="27" t="s">
        <v>23</v>
      </c>
      <c r="C33" s="27"/>
      <c r="D33" s="27"/>
      <c r="E33" s="27"/>
      <c r="F33" s="28"/>
      <c r="G33" s="28"/>
      <c r="H33" s="28"/>
      <c r="I33" s="74"/>
      <c r="J33" s="57"/>
      <c r="K33" s="29"/>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row>
  </sheetData>
  <mergeCells count="5">
    <mergeCell ref="AA2:AD2"/>
    <mergeCell ref="AF2:AI2"/>
    <mergeCell ref="L2:O2"/>
    <mergeCell ref="Q2:T2"/>
    <mergeCell ref="V2:Y2"/>
  </mergeCells>
  <phoneticPr fontId="21"/>
  <conditionalFormatting sqref="E8:E14 E20:E32">
    <cfRule type="dataBar" priority="15">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L4:AP4">
    <cfRule type="expression" dxfId="12" priority="31">
      <formula>L$5&lt;=EOMONTH($L$5,0)</formula>
    </cfRule>
  </conditionalFormatting>
  <conditionalFormatting sqref="M4:BO4">
    <cfRule type="expression" dxfId="11" priority="30">
      <formula>AND(M$5&lt;=EOMONTH($L$5,2),M$5&gt;EOMONTH($L$5,0),M$5&gt;EOMONTH($L$5,1))</formula>
    </cfRule>
  </conditionalFormatting>
  <conditionalFormatting sqref="L4:BO4">
    <cfRule type="expression" dxfId="10" priority="19">
      <formula>AND(L$5&lt;=EOMONTH($L$5,1),L$5&gt;EOMONTH($L$5,0))</formula>
    </cfRule>
  </conditionalFormatting>
  <conditionalFormatting sqref="L8:BO32">
    <cfRule type="expression" dxfId="9" priority="186" stopIfTrue="1">
      <formula>AND(0&lt;=(L8*1),(L8*$J$3)&lt;=($C8*$E8))</formula>
    </cfRule>
    <cfRule type="expression" dxfId="8" priority="187" stopIfTrue="1">
      <formula>AND(0&lt;=(L8*1),$F8="順調")</formula>
    </cfRule>
    <cfRule type="expression" dxfId="7" priority="188" stopIfTrue="1">
      <formula>AND(0&lt;=(L8*1),$F8="低リスク")</formula>
    </cfRule>
    <cfRule type="expression" dxfId="6" priority="189" stopIfTrue="1">
      <formula>AND(0&lt;=(L8*1),$F8="高リスク")</formula>
    </cfRule>
    <cfRule type="expression" dxfId="5" priority="190" stopIfTrue="1">
      <formula>AND(0&lt;=(L8*1),$F8="中リスク")</formula>
    </cfRule>
  </conditionalFormatting>
  <conditionalFormatting sqref="L5:BO33">
    <cfRule type="expression" dxfId="4" priority="36">
      <formula>AND(TODAY()&gt;=L$5,TODAY()&lt;M$5)</formula>
    </cfRule>
  </conditionalFormatting>
  <conditionalFormatting sqref="E15:E19">
    <cfRule type="dataBar" priority="1">
      <dataBar>
        <cfvo type="num" val="0"/>
        <cfvo type="num" val="1"/>
        <color theme="0" tint="-0.249977111117893"/>
      </dataBar>
      <extLst>
        <ext xmlns:x14="http://schemas.microsoft.com/office/spreadsheetml/2009/9/main" uri="{B025F937-C7B1-47D3-B67F-A62EFF666E3E}">
          <x14:id>{95369F8C-A945-4F29-A3BB-77EA8631B70A}</x14:id>
        </ext>
      </extLst>
    </cfRule>
  </conditionalFormatting>
  <dataValidations count="2">
    <dataValidation type="whole" operator="greaterThanOrEqual" allowBlank="1" showInputMessage="1" promptTitle="スクロールの増分" prompt="この番号を変更すると、ガント チャート ビューがスクロールされます。" sqref="J4" xr:uid="{8429E3C3-26C2-4685-A23F-894E5BC6F3A9}">
      <formula1>0</formula1>
    </dataValidation>
    <dataValidation type="list" allowBlank="1" showInputMessage="1" showErrorMessage="1" sqref="F8:F32" xr:uid="{4D2D5B85-2F0B-4E79-ACA1-A3372A83FE01}">
      <formula1>"マイルストーン,順調, 低リスク, 中リスク, 高リスク"</formula1>
    </dataValidation>
  </dataValidations>
  <printOptions horizontalCentered="1"/>
  <pageMargins left="0.25" right="0.25" top="0.5" bottom="0.5" header="0.3" footer="0.3"/>
  <pageSetup paperSize="9" scale="33" fitToHeight="0" orientation="landscape" r:id="rId1"/>
  <headerFooter differentFirst="1" scaleWithDoc="0"/>
  <ignoredErrors>
    <ignoredError sqref="H1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9" r:id="rId4" name="スクロール バー 5">
              <controlPr defaultSize="0" autoPict="0" altText="スクロール バーを使用して、ガント プロジェクトのタイムラインをスクロールします。">
                <anchor moveWithCells="1">
                  <from>
                    <xdr:col>11</xdr:col>
                    <xdr:colOff>28575</xdr:colOff>
                    <xdr:row>5</xdr:row>
                    <xdr:rowOff>57150</xdr:rowOff>
                  </from>
                  <to>
                    <xdr:col>67</xdr:col>
                    <xdr:colOff>0</xdr:colOff>
                    <xdr:row>5</xdr:row>
                    <xdr:rowOff>238125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E8:E14 E20:E32</xm:sqref>
        </x14:conditionalFormatting>
        <x14:conditionalFormatting xmlns:xm="http://schemas.microsoft.com/office/excel/2006/main">
          <x14:cfRule type="dataBar" id="{95369F8C-A945-4F29-A3BB-77EA8631B70A}">
            <x14:dataBar minLength="0" maxLength="100" gradient="0">
              <x14:cfvo type="num">
                <xm:f>0</xm:f>
              </x14:cfvo>
              <x14:cfvo type="num">
                <xm:f>1</xm:f>
              </x14:cfvo>
              <x14:negativeFillColor rgb="FFFF0000"/>
              <x14:axisColor rgb="FF000000"/>
            </x14:dataBar>
          </x14:cfRule>
          <xm:sqref>E15:E19</xm:sqref>
        </x14:conditionalFormatting>
        <x14:conditionalFormatting xmlns:xm="http://schemas.microsoft.com/office/excel/2006/main">
          <x14:cfRule type="expression" priority="35" id="{88EF97ED-E657-46B3-8EE3-C4C16C3A9FD2}">
            <xm:f>OR(WEEKDAY(L$5,2)&gt;5,0&lt;COUNTIF(祝日!$A:$A,L$5))</xm:f>
            <x14:dxf>
              <font>
                <color theme="0"/>
              </font>
              <fill>
                <patternFill>
                  <bgColor rgb="FFFF0000"/>
                </patternFill>
              </fill>
            </x14:dxf>
          </x14:cfRule>
          <xm:sqref>L5:BO7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6551-F24D-4A29-A59A-0B17857952F9}">
  <sheetPr codeName="Sheet2"/>
  <dimension ref="A1:C19"/>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33" customWidth="1"/>
    <col min="2" max="2" width="12.21875" style="34" bestFit="1" customWidth="1"/>
    <col min="3" max="3" width="22.109375" style="37" bestFit="1" customWidth="1"/>
    <col min="4" max="16384" width="8.88671875" style="34"/>
  </cols>
  <sheetData>
    <row r="1" spans="1:3" ht="15.75" x14ac:dyDescent="0.25">
      <c r="A1" s="38"/>
      <c r="B1" s="38" t="s">
        <v>59</v>
      </c>
      <c r="C1" s="38" t="s">
        <v>60</v>
      </c>
    </row>
    <row r="2" spans="1:3" ht="15.75" x14ac:dyDescent="0.25">
      <c r="A2" s="35">
        <v>43831</v>
      </c>
      <c r="B2" s="35" t="s">
        <v>35</v>
      </c>
      <c r="C2" s="36"/>
    </row>
    <row r="3" spans="1:3" ht="15.75" x14ac:dyDescent="0.25">
      <c r="A3" s="35">
        <v>43843</v>
      </c>
      <c r="B3" s="35" t="s">
        <v>36</v>
      </c>
      <c r="C3" s="36" t="s">
        <v>57</v>
      </c>
    </row>
    <row r="4" spans="1:3" ht="15.75" x14ac:dyDescent="0.25">
      <c r="A4" s="35">
        <v>43872</v>
      </c>
      <c r="B4" s="35" t="s">
        <v>37</v>
      </c>
      <c r="C4" s="36"/>
    </row>
    <row r="5" spans="1:3" ht="15.75" x14ac:dyDescent="0.25">
      <c r="A5" s="35">
        <v>43884</v>
      </c>
      <c r="B5" s="35" t="s">
        <v>38</v>
      </c>
      <c r="C5" s="36"/>
    </row>
    <row r="6" spans="1:3" ht="15.75" x14ac:dyDescent="0.25">
      <c r="A6" s="35">
        <v>43885</v>
      </c>
      <c r="B6" s="35" t="s">
        <v>39</v>
      </c>
      <c r="C6" s="36" t="s">
        <v>40</v>
      </c>
    </row>
    <row r="7" spans="1:3" ht="15.75" x14ac:dyDescent="0.25">
      <c r="A7" s="35">
        <v>43910</v>
      </c>
      <c r="B7" s="35" t="s">
        <v>41</v>
      </c>
      <c r="C7" s="36"/>
    </row>
    <row r="8" spans="1:3" ht="15.75" x14ac:dyDescent="0.25">
      <c r="A8" s="35">
        <v>43950</v>
      </c>
      <c r="B8" s="35" t="s">
        <v>42</v>
      </c>
      <c r="C8" s="36"/>
    </row>
    <row r="9" spans="1:3" ht="15.75" x14ac:dyDescent="0.25">
      <c r="A9" s="35">
        <v>43954</v>
      </c>
      <c r="B9" s="35" t="s">
        <v>43</v>
      </c>
      <c r="C9" s="36"/>
    </row>
    <row r="10" spans="1:3" ht="15.75" x14ac:dyDescent="0.25">
      <c r="A10" s="35">
        <v>43955</v>
      </c>
      <c r="B10" s="35" t="s">
        <v>44</v>
      </c>
      <c r="C10" s="36"/>
    </row>
    <row r="11" spans="1:3" ht="15.75" x14ac:dyDescent="0.25">
      <c r="A11" s="35">
        <v>43956</v>
      </c>
      <c r="B11" s="35" t="s">
        <v>45</v>
      </c>
      <c r="C11" s="36"/>
    </row>
    <row r="12" spans="1:3" ht="15.75" x14ac:dyDescent="0.25">
      <c r="A12" s="35">
        <v>43957</v>
      </c>
      <c r="B12" s="35" t="s">
        <v>39</v>
      </c>
      <c r="C12" s="36" t="s">
        <v>46</v>
      </c>
    </row>
    <row r="13" spans="1:3" ht="15.75" x14ac:dyDescent="0.25">
      <c r="A13" s="35">
        <v>44035</v>
      </c>
      <c r="B13" s="35" t="s">
        <v>47</v>
      </c>
      <c r="C13" s="36" t="s">
        <v>48</v>
      </c>
    </row>
    <row r="14" spans="1:3" ht="15.75" x14ac:dyDescent="0.25">
      <c r="A14" s="35">
        <v>44036</v>
      </c>
      <c r="B14" s="35" t="s">
        <v>49</v>
      </c>
      <c r="C14" s="36" t="s">
        <v>48</v>
      </c>
    </row>
    <row r="15" spans="1:3" ht="15.75" x14ac:dyDescent="0.25">
      <c r="A15" s="35">
        <v>44053</v>
      </c>
      <c r="B15" s="35" t="s">
        <v>50</v>
      </c>
      <c r="C15" s="36" t="s">
        <v>48</v>
      </c>
    </row>
    <row r="16" spans="1:3" ht="15.75" x14ac:dyDescent="0.25">
      <c r="A16" s="35">
        <v>44095</v>
      </c>
      <c r="B16" s="35" t="s">
        <v>51</v>
      </c>
      <c r="C16" s="36" t="s">
        <v>58</v>
      </c>
    </row>
    <row r="17" spans="1:3" ht="15.75" x14ac:dyDescent="0.25">
      <c r="A17" s="35">
        <v>44096</v>
      </c>
      <c r="B17" s="35" t="s">
        <v>52</v>
      </c>
      <c r="C17" s="36"/>
    </row>
    <row r="18" spans="1:3" ht="15.75" x14ac:dyDescent="0.25">
      <c r="A18" s="35">
        <v>44138</v>
      </c>
      <c r="B18" s="35" t="s">
        <v>53</v>
      </c>
      <c r="C18" s="36"/>
    </row>
    <row r="19" spans="1:3" ht="15.75" x14ac:dyDescent="0.25">
      <c r="A19" s="35">
        <v>44158</v>
      </c>
      <c r="B19" s="35" t="s">
        <v>54</v>
      </c>
      <c r="C19" s="36"/>
    </row>
  </sheetData>
  <phoneticPr fontId="2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28971-B8BD-4F6F-BA9F-740F2DF5C3EE}">
  <sheetPr codeName="Sheet5"/>
  <dimension ref="A1:D412"/>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33" customWidth="1"/>
    <col min="2" max="2" width="8" style="33" bestFit="1" customWidth="1"/>
    <col min="3" max="3" width="12.21875" style="37" bestFit="1" customWidth="1"/>
    <col min="4" max="4" width="22.109375" style="37" bestFit="1" customWidth="1"/>
    <col min="5" max="16384" width="8.88671875" style="34"/>
  </cols>
  <sheetData>
    <row r="1" spans="1:4" ht="15.75" x14ac:dyDescent="0.25">
      <c r="A1" s="38"/>
      <c r="B1" s="38" t="s">
        <v>67</v>
      </c>
      <c r="C1" s="38" t="s">
        <v>59</v>
      </c>
      <c r="D1" s="38" t="s">
        <v>60</v>
      </c>
    </row>
    <row r="2" spans="1:4" ht="15.75" x14ac:dyDescent="0.25">
      <c r="A2" s="35">
        <v>43831</v>
      </c>
      <c r="B2" s="60">
        <f>IF(OR(5&lt;WEEKDAY(A2,2),0&lt;COUNTIF(祝日!A:A,A2)),0,8)</f>
        <v>0</v>
      </c>
      <c r="C2" s="36" t="str">
        <f>IFERROR(
  IF(
    VLOOKUP($A2,祝日!$A:$C,2,FALSE)="",
    "",
    VLOOKUP($A2,祝日!$A:$C,2,FALSE)
  ),
  ""
)</f>
        <v xml:space="preserve">元日 </v>
      </c>
      <c r="D2" s="36" t="str">
        <f>IFERROR(
  IF(
    VLOOKUP($A2,祝日!$A:$C,3,FALSE)="",
    "",
    VLOOKUP($A2,祝日!$A:$C,3,FALSE)
  ),
  ""
)</f>
        <v/>
      </c>
    </row>
    <row r="3" spans="1:4" ht="15.75" x14ac:dyDescent="0.25">
      <c r="A3" s="35">
        <v>43832</v>
      </c>
      <c r="B3" s="60">
        <f>IF(OR(5&lt;WEEKDAY(A3,2),0&lt;COUNTIF(祝日!A:A,A3)),0,8)</f>
        <v>8</v>
      </c>
      <c r="C3" s="36" t="str">
        <f>IFERROR(
  IF(
    VLOOKUP($A3,祝日!$A:$C,2,FALSE)="",
    "",
    VLOOKUP($A3,祝日!$A:$C,2,FALSE)
  ),
  ""
)</f>
        <v/>
      </c>
      <c r="D3" s="36" t="str">
        <f>IFERROR(
  IF(
    VLOOKUP($A3,祝日!$A:$C,3,FALSE)="",
    "",
    VLOOKUP($A3,祝日!$A:$C,3,FALSE)
  ),
  ""
)</f>
        <v/>
      </c>
    </row>
    <row r="4" spans="1:4" ht="15.75" x14ac:dyDescent="0.25">
      <c r="A4" s="35">
        <v>43833</v>
      </c>
      <c r="B4" s="60">
        <f>IF(OR(5&lt;WEEKDAY(A4,2),0&lt;COUNTIF(祝日!A:A,A4)),0,8)</f>
        <v>8</v>
      </c>
      <c r="C4" s="36" t="str">
        <f>IFERROR(
  IF(
    VLOOKUP($A4,祝日!$A:$C,2,FALSE)="",
    "",
    VLOOKUP($A4,祝日!$A:$C,2,FALSE)
  ),
  ""
)</f>
        <v/>
      </c>
      <c r="D4" s="36" t="str">
        <f>IFERROR(
  IF(
    VLOOKUP($A4,祝日!$A:$C,3,FALSE)="",
    "",
    VLOOKUP($A4,祝日!$A:$C,3,FALSE)
  ),
  ""
)</f>
        <v/>
      </c>
    </row>
    <row r="5" spans="1:4" ht="15.75" x14ac:dyDescent="0.25">
      <c r="A5" s="35">
        <v>43834</v>
      </c>
      <c r="B5" s="60">
        <f>IF(OR(5&lt;WEEKDAY(A5,2),0&lt;COUNTIF(祝日!A:A,A5)),0,8)</f>
        <v>0</v>
      </c>
      <c r="C5" s="36" t="str">
        <f>IFERROR(
  IF(
    VLOOKUP($A5,祝日!$A:$C,2,FALSE)="",
    "",
    VLOOKUP($A5,祝日!$A:$C,2,FALSE)
  ),
  ""
)</f>
        <v/>
      </c>
      <c r="D5" s="36" t="str">
        <f>IFERROR(
  IF(
    VLOOKUP($A5,祝日!$A:$C,3,FALSE)="",
    "",
    VLOOKUP($A5,祝日!$A:$C,3,FALSE)
  ),
  ""
)</f>
        <v/>
      </c>
    </row>
    <row r="6" spans="1:4" ht="15.75" x14ac:dyDescent="0.25">
      <c r="A6" s="35">
        <v>43835</v>
      </c>
      <c r="B6" s="60">
        <f>IF(OR(5&lt;WEEKDAY(A6,2),0&lt;COUNTIF(祝日!A:A,A6)),0,8)</f>
        <v>0</v>
      </c>
      <c r="C6" s="36" t="str">
        <f>IFERROR(
  IF(
    VLOOKUP($A6,祝日!$A:$C,2,FALSE)="",
    "",
    VLOOKUP($A6,祝日!$A:$C,2,FALSE)
  ),
  ""
)</f>
        <v/>
      </c>
      <c r="D6" s="36" t="str">
        <f>IFERROR(
  IF(
    VLOOKUP($A6,祝日!$A:$C,3,FALSE)="",
    "",
    VLOOKUP($A6,祝日!$A:$C,3,FALSE)
  ),
  ""
)</f>
        <v/>
      </c>
    </row>
    <row r="7" spans="1:4" ht="15.75" x14ac:dyDescent="0.25">
      <c r="A7" s="35">
        <v>43836</v>
      </c>
      <c r="B7" s="60">
        <f>IF(OR(5&lt;WEEKDAY(A7,2),0&lt;COUNTIF(祝日!A:A,A7)),0,8)</f>
        <v>8</v>
      </c>
      <c r="C7" s="36" t="str">
        <f>IFERROR(
  IF(
    VLOOKUP($A7,祝日!$A:$C,2,FALSE)="",
    "",
    VLOOKUP($A7,祝日!$A:$C,2,FALSE)
  ),
  ""
)</f>
        <v/>
      </c>
      <c r="D7" s="36" t="str">
        <f>IFERROR(
  IF(
    VLOOKUP($A7,祝日!$A:$C,3,FALSE)="",
    "",
    VLOOKUP($A7,祝日!$A:$C,3,FALSE)
  ),
  ""
)</f>
        <v/>
      </c>
    </row>
    <row r="8" spans="1:4" ht="15.75" x14ac:dyDescent="0.25">
      <c r="A8" s="35">
        <v>43837</v>
      </c>
      <c r="B8" s="60">
        <f>IF(OR(5&lt;WEEKDAY(A8,2),0&lt;COUNTIF(祝日!A:A,A8)),0,8)</f>
        <v>8</v>
      </c>
      <c r="C8" s="36" t="str">
        <f>IFERROR(
  IF(
    VLOOKUP($A8,祝日!$A:$C,2,FALSE)="",
    "",
    VLOOKUP($A8,祝日!$A:$C,2,FALSE)
  ),
  ""
)</f>
        <v/>
      </c>
      <c r="D8" s="36" t="str">
        <f>IFERROR(
  IF(
    VLOOKUP($A8,祝日!$A:$C,3,FALSE)="",
    "",
    VLOOKUP($A8,祝日!$A:$C,3,FALSE)
  ),
  ""
)</f>
        <v/>
      </c>
    </row>
    <row r="9" spans="1:4" ht="15.75" x14ac:dyDescent="0.25">
      <c r="A9" s="35">
        <v>43838</v>
      </c>
      <c r="B9" s="60">
        <f>IF(OR(5&lt;WEEKDAY(A9,2),0&lt;COUNTIF(祝日!A:A,A9)),0,8)</f>
        <v>8</v>
      </c>
      <c r="C9" s="36" t="str">
        <f>IFERROR(
  IF(
    VLOOKUP($A9,祝日!$A:$C,2,FALSE)="",
    "",
    VLOOKUP($A9,祝日!$A:$C,2,FALSE)
  ),
  ""
)</f>
        <v/>
      </c>
      <c r="D9" s="36" t="str">
        <f>IFERROR(
  IF(
    VLOOKUP($A9,祝日!$A:$C,3,FALSE)="",
    "",
    VLOOKUP($A9,祝日!$A:$C,3,FALSE)
  ),
  ""
)</f>
        <v/>
      </c>
    </row>
    <row r="10" spans="1:4" ht="15.75" x14ac:dyDescent="0.25">
      <c r="A10" s="35">
        <v>43839</v>
      </c>
      <c r="B10" s="60">
        <f>IF(OR(5&lt;WEEKDAY(A10,2),0&lt;COUNTIF(祝日!A:A,A10)),0,8)</f>
        <v>8</v>
      </c>
      <c r="C10" s="36" t="str">
        <f>IFERROR(
  IF(
    VLOOKUP($A10,祝日!$A:$C,2,FALSE)="",
    "",
    VLOOKUP($A10,祝日!$A:$C,2,FALSE)
  ),
  ""
)</f>
        <v/>
      </c>
      <c r="D10" s="36" t="str">
        <f>IFERROR(
  IF(
    VLOOKUP($A10,祝日!$A:$C,3,FALSE)="",
    "",
    VLOOKUP($A10,祝日!$A:$C,3,FALSE)
  ),
  ""
)</f>
        <v/>
      </c>
    </row>
    <row r="11" spans="1:4" ht="15.75" x14ac:dyDescent="0.25">
      <c r="A11" s="35">
        <v>43840</v>
      </c>
      <c r="B11" s="60">
        <f>IF(OR(5&lt;WEEKDAY(A11,2),0&lt;COUNTIF(祝日!A:A,A11)),0,8)</f>
        <v>8</v>
      </c>
      <c r="C11" s="36" t="str">
        <f>IFERROR(
  IF(
    VLOOKUP($A11,祝日!$A:$C,2,FALSE)="",
    "",
    VLOOKUP($A11,祝日!$A:$C,2,FALSE)
  ),
  ""
)</f>
        <v/>
      </c>
      <c r="D11" s="36" t="str">
        <f>IFERROR(
  IF(
    VLOOKUP($A11,祝日!$A:$C,3,FALSE)="",
    "",
    VLOOKUP($A11,祝日!$A:$C,3,FALSE)
  ),
  ""
)</f>
        <v/>
      </c>
    </row>
    <row r="12" spans="1:4" ht="15.75" x14ac:dyDescent="0.25">
      <c r="A12" s="35">
        <v>43841</v>
      </c>
      <c r="B12" s="60">
        <f>IF(OR(5&lt;WEEKDAY(A12,2),0&lt;COUNTIF(祝日!A:A,A12)),0,8)</f>
        <v>0</v>
      </c>
      <c r="C12" s="36" t="str">
        <f>IFERROR(
  IF(
    VLOOKUP($A12,祝日!$A:$C,2,FALSE)="",
    "",
    VLOOKUP($A12,祝日!$A:$C,2,FALSE)
  ),
  ""
)</f>
        <v/>
      </c>
      <c r="D12" s="36" t="str">
        <f>IFERROR(
  IF(
    VLOOKUP($A12,祝日!$A:$C,3,FALSE)="",
    "",
    VLOOKUP($A12,祝日!$A:$C,3,FALSE)
  ),
  ""
)</f>
        <v/>
      </c>
    </row>
    <row r="13" spans="1:4" ht="15.75" x14ac:dyDescent="0.25">
      <c r="A13" s="35">
        <v>43842</v>
      </c>
      <c r="B13" s="60">
        <f>IF(OR(5&lt;WEEKDAY(A13,2),0&lt;COUNTIF(祝日!A:A,A13)),0,8)</f>
        <v>0</v>
      </c>
      <c r="C13" s="36" t="str">
        <f>IFERROR(
  IF(
    VLOOKUP($A13,祝日!$A:$C,2,FALSE)="",
    "",
    VLOOKUP($A13,祝日!$A:$C,2,FALSE)
  ),
  ""
)</f>
        <v/>
      </c>
      <c r="D13" s="36" t="str">
        <f>IFERROR(
  IF(
    VLOOKUP($A13,祝日!$A:$C,3,FALSE)="",
    "",
    VLOOKUP($A13,祝日!$A:$C,3,FALSE)
  ),
  ""
)</f>
        <v/>
      </c>
    </row>
    <row r="14" spans="1:4" ht="15.75" x14ac:dyDescent="0.25">
      <c r="A14" s="35">
        <v>43843</v>
      </c>
      <c r="B14" s="60">
        <f>IF(OR(5&lt;WEEKDAY(A14,2),0&lt;COUNTIF(祝日!A:A,A14)),0,8)</f>
        <v>0</v>
      </c>
      <c r="C14" s="36" t="str">
        <f>IFERROR(
  IF(
    VLOOKUP($A14,祝日!$A:$C,2,FALSE)="",
    "",
    VLOOKUP($A14,祝日!$A:$C,2,FALSE)
  ),
  ""
)</f>
        <v xml:space="preserve">成人の日 </v>
      </c>
      <c r="D14" s="36" t="str">
        <f>IFERROR(
  IF(
    VLOOKUP($A14,祝日!$A:$C,3,FALSE)="",
    "",
    VLOOKUP($A14,祝日!$A:$C,3,FALSE)
  ),
  ""
)</f>
        <v>1月第2月曜日</v>
      </c>
    </row>
    <row r="15" spans="1:4" ht="15.75" x14ac:dyDescent="0.25">
      <c r="A15" s="35">
        <v>43844</v>
      </c>
      <c r="B15" s="60">
        <f>IF(OR(5&lt;WEEKDAY(A15,2),0&lt;COUNTIF(祝日!A:A,A15)),0,8)</f>
        <v>8</v>
      </c>
      <c r="C15" s="36" t="str">
        <f>IFERROR(
  IF(
    VLOOKUP($A15,祝日!$A:$C,2,FALSE)="",
    "",
    VLOOKUP($A15,祝日!$A:$C,2,FALSE)
  ),
  ""
)</f>
        <v/>
      </c>
      <c r="D15" s="36" t="str">
        <f>IFERROR(
  IF(
    VLOOKUP($A15,祝日!$A:$C,3,FALSE)="",
    "",
    VLOOKUP($A15,祝日!$A:$C,3,FALSE)
  ),
  ""
)</f>
        <v/>
      </c>
    </row>
    <row r="16" spans="1:4" ht="15.75" x14ac:dyDescent="0.25">
      <c r="A16" s="35">
        <v>43845</v>
      </c>
      <c r="B16" s="60">
        <f>IF(OR(5&lt;WEEKDAY(A16,2),0&lt;COUNTIF(祝日!A:A,A16)),0,8)</f>
        <v>8</v>
      </c>
      <c r="C16" s="36" t="str">
        <f>IFERROR(
  IF(
    VLOOKUP($A16,祝日!$A:$C,2,FALSE)="",
    "",
    VLOOKUP($A16,祝日!$A:$C,2,FALSE)
  ),
  ""
)</f>
        <v/>
      </c>
      <c r="D16" s="36" t="str">
        <f>IFERROR(
  IF(
    VLOOKUP($A16,祝日!$A:$C,3,FALSE)="",
    "",
    VLOOKUP($A16,祝日!$A:$C,3,FALSE)
  ),
  ""
)</f>
        <v/>
      </c>
    </row>
    <row r="17" spans="1:4" ht="15.75" x14ac:dyDescent="0.25">
      <c r="A17" s="35">
        <v>43846</v>
      </c>
      <c r="B17" s="60">
        <f>IF(OR(5&lt;WEEKDAY(A17,2),0&lt;COUNTIF(祝日!A:A,A17)),0,8)</f>
        <v>8</v>
      </c>
      <c r="C17" s="36" t="str">
        <f>IFERROR(
  IF(
    VLOOKUP($A17,祝日!$A:$C,2,FALSE)="",
    "",
    VLOOKUP($A17,祝日!$A:$C,2,FALSE)
  ),
  ""
)</f>
        <v/>
      </c>
      <c r="D17" s="36" t="str">
        <f>IFERROR(
  IF(
    VLOOKUP($A17,祝日!$A:$C,3,FALSE)="",
    "",
    VLOOKUP($A17,祝日!$A:$C,3,FALSE)
  ),
  ""
)</f>
        <v/>
      </c>
    </row>
    <row r="18" spans="1:4" ht="15.75" x14ac:dyDescent="0.25">
      <c r="A18" s="35">
        <v>43847</v>
      </c>
      <c r="B18" s="60">
        <f>IF(OR(5&lt;WEEKDAY(A18,2),0&lt;COUNTIF(祝日!A:A,A18)),0,8)</f>
        <v>8</v>
      </c>
      <c r="C18" s="36" t="str">
        <f>IFERROR(
  IF(
    VLOOKUP($A18,祝日!$A:$C,2,FALSE)="",
    "",
    VLOOKUP($A18,祝日!$A:$C,2,FALSE)
  ),
  ""
)</f>
        <v/>
      </c>
      <c r="D18" s="36" t="str">
        <f>IFERROR(
  IF(
    VLOOKUP($A18,祝日!$A:$C,3,FALSE)="",
    "",
    VLOOKUP($A18,祝日!$A:$C,3,FALSE)
  ),
  ""
)</f>
        <v/>
      </c>
    </row>
    <row r="19" spans="1:4" ht="15.75" x14ac:dyDescent="0.25">
      <c r="A19" s="35">
        <v>43848</v>
      </c>
      <c r="B19" s="60">
        <f>IF(OR(5&lt;WEEKDAY(A19,2),0&lt;COUNTIF(祝日!A:A,A19)),0,8)</f>
        <v>0</v>
      </c>
      <c r="C19" s="36" t="str">
        <f>IFERROR(
  IF(
    VLOOKUP($A19,祝日!$A:$C,2,FALSE)="",
    "",
    VLOOKUP($A19,祝日!$A:$C,2,FALSE)
  ),
  ""
)</f>
        <v/>
      </c>
      <c r="D19" s="36" t="str">
        <f>IFERROR(
  IF(
    VLOOKUP($A19,祝日!$A:$C,3,FALSE)="",
    "",
    VLOOKUP($A19,祝日!$A:$C,3,FALSE)
  ),
  ""
)</f>
        <v/>
      </c>
    </row>
    <row r="20" spans="1:4" ht="15.75" x14ac:dyDescent="0.25">
      <c r="A20" s="35">
        <v>43849</v>
      </c>
      <c r="B20" s="60">
        <f>IF(OR(5&lt;WEEKDAY(A20,2),0&lt;COUNTIF(祝日!A:A,A20)),0,8)</f>
        <v>0</v>
      </c>
      <c r="C20" s="36" t="str">
        <f>IFERROR(
  IF(
    VLOOKUP($A20,祝日!$A:$C,2,FALSE)="",
    "",
    VLOOKUP($A20,祝日!$A:$C,2,FALSE)
  ),
  ""
)</f>
        <v/>
      </c>
      <c r="D20" s="36" t="str">
        <f>IFERROR(
  IF(
    VLOOKUP($A20,祝日!$A:$C,3,FALSE)="",
    "",
    VLOOKUP($A20,祝日!$A:$C,3,FALSE)
  ),
  ""
)</f>
        <v/>
      </c>
    </row>
    <row r="21" spans="1:4" ht="15.75" x14ac:dyDescent="0.25">
      <c r="A21" s="35">
        <v>43850</v>
      </c>
      <c r="B21" s="60">
        <f>IF(OR(5&lt;WEEKDAY(A21,2),0&lt;COUNTIF(祝日!A:A,A21)),0,8)</f>
        <v>8</v>
      </c>
      <c r="C21" s="36" t="str">
        <f>IFERROR(
  IF(
    VLOOKUP($A21,祝日!$A:$C,2,FALSE)="",
    "",
    VLOOKUP($A21,祝日!$A:$C,2,FALSE)
  ),
  ""
)</f>
        <v/>
      </c>
      <c r="D21" s="36" t="str">
        <f>IFERROR(
  IF(
    VLOOKUP($A21,祝日!$A:$C,3,FALSE)="",
    "",
    VLOOKUP($A21,祝日!$A:$C,3,FALSE)
  ),
  ""
)</f>
        <v/>
      </c>
    </row>
    <row r="22" spans="1:4" ht="15.75" x14ac:dyDescent="0.25">
      <c r="A22" s="35">
        <v>43851</v>
      </c>
      <c r="B22" s="60">
        <f>IF(OR(5&lt;WEEKDAY(A22,2),0&lt;COUNTIF(祝日!A:A,A22)),0,8)</f>
        <v>8</v>
      </c>
      <c r="C22" s="36" t="str">
        <f>IFERROR(
  IF(
    VLOOKUP($A22,祝日!$A:$C,2,FALSE)="",
    "",
    VLOOKUP($A22,祝日!$A:$C,2,FALSE)
  ),
  ""
)</f>
        <v/>
      </c>
      <c r="D22" s="36" t="str">
        <f>IFERROR(
  IF(
    VLOOKUP($A22,祝日!$A:$C,3,FALSE)="",
    "",
    VLOOKUP($A22,祝日!$A:$C,3,FALSE)
  ),
  ""
)</f>
        <v/>
      </c>
    </row>
    <row r="23" spans="1:4" ht="15.75" x14ac:dyDescent="0.25">
      <c r="A23" s="35">
        <v>43852</v>
      </c>
      <c r="B23" s="60">
        <f>IF(OR(5&lt;WEEKDAY(A23,2),0&lt;COUNTIF(祝日!A:A,A23)),0,8)</f>
        <v>8</v>
      </c>
      <c r="C23" s="36" t="str">
        <f>IFERROR(
  IF(
    VLOOKUP($A23,祝日!$A:$C,2,FALSE)="",
    "",
    VLOOKUP($A23,祝日!$A:$C,2,FALSE)
  ),
  ""
)</f>
        <v/>
      </c>
      <c r="D23" s="36" t="str">
        <f>IFERROR(
  IF(
    VLOOKUP($A23,祝日!$A:$C,3,FALSE)="",
    "",
    VLOOKUP($A23,祝日!$A:$C,3,FALSE)
  ),
  ""
)</f>
        <v/>
      </c>
    </row>
    <row r="24" spans="1:4" ht="15.75" x14ac:dyDescent="0.25">
      <c r="A24" s="35">
        <v>43853</v>
      </c>
      <c r="B24" s="60">
        <f>IF(OR(5&lt;WEEKDAY(A24,2),0&lt;COUNTIF(祝日!A:A,A24)),0,8)</f>
        <v>8</v>
      </c>
      <c r="C24" s="36" t="str">
        <f>IFERROR(
  IF(
    VLOOKUP($A24,祝日!$A:$C,2,FALSE)="",
    "",
    VLOOKUP($A24,祝日!$A:$C,2,FALSE)
  ),
  ""
)</f>
        <v/>
      </c>
      <c r="D24" s="36" t="str">
        <f>IFERROR(
  IF(
    VLOOKUP($A24,祝日!$A:$C,3,FALSE)="",
    "",
    VLOOKUP($A24,祝日!$A:$C,3,FALSE)
  ),
  ""
)</f>
        <v/>
      </c>
    </row>
    <row r="25" spans="1:4" ht="15.75" x14ac:dyDescent="0.25">
      <c r="A25" s="35">
        <v>43854</v>
      </c>
      <c r="B25" s="60">
        <f>IF(OR(5&lt;WEEKDAY(A25,2),0&lt;COUNTIF(祝日!A:A,A25)),0,8)</f>
        <v>8</v>
      </c>
      <c r="C25" s="36" t="str">
        <f>IFERROR(
  IF(
    VLOOKUP($A25,祝日!$A:$C,2,FALSE)="",
    "",
    VLOOKUP($A25,祝日!$A:$C,2,FALSE)
  ),
  ""
)</f>
        <v/>
      </c>
      <c r="D25" s="36" t="str">
        <f>IFERROR(
  IF(
    VLOOKUP($A25,祝日!$A:$C,3,FALSE)="",
    "",
    VLOOKUP($A25,祝日!$A:$C,3,FALSE)
  ),
  ""
)</f>
        <v/>
      </c>
    </row>
    <row r="26" spans="1:4" ht="15.75" x14ac:dyDescent="0.25">
      <c r="A26" s="35">
        <v>43855</v>
      </c>
      <c r="B26" s="60">
        <f>IF(OR(5&lt;WEEKDAY(A26,2),0&lt;COUNTIF(祝日!A:A,A26)),0,8)</f>
        <v>0</v>
      </c>
      <c r="C26" s="36" t="str">
        <f>IFERROR(
  IF(
    VLOOKUP($A26,祝日!$A:$C,2,FALSE)="",
    "",
    VLOOKUP($A26,祝日!$A:$C,2,FALSE)
  ),
  ""
)</f>
        <v/>
      </c>
      <c r="D26" s="36" t="str">
        <f>IFERROR(
  IF(
    VLOOKUP($A26,祝日!$A:$C,3,FALSE)="",
    "",
    VLOOKUP($A26,祝日!$A:$C,3,FALSE)
  ),
  ""
)</f>
        <v/>
      </c>
    </row>
    <row r="27" spans="1:4" ht="15.75" x14ac:dyDescent="0.25">
      <c r="A27" s="35">
        <v>43856</v>
      </c>
      <c r="B27" s="60">
        <f>IF(OR(5&lt;WEEKDAY(A27,2),0&lt;COUNTIF(祝日!A:A,A27)),0,8)</f>
        <v>0</v>
      </c>
      <c r="C27" s="36" t="str">
        <f>IFERROR(
  IF(
    VLOOKUP($A27,祝日!$A:$C,2,FALSE)="",
    "",
    VLOOKUP($A27,祝日!$A:$C,2,FALSE)
  ),
  ""
)</f>
        <v/>
      </c>
      <c r="D27" s="36" t="str">
        <f>IFERROR(
  IF(
    VLOOKUP($A27,祝日!$A:$C,3,FALSE)="",
    "",
    VLOOKUP($A27,祝日!$A:$C,3,FALSE)
  ),
  ""
)</f>
        <v/>
      </c>
    </row>
    <row r="28" spans="1:4" ht="15.75" x14ac:dyDescent="0.25">
      <c r="A28" s="35">
        <v>43857</v>
      </c>
      <c r="B28" s="60">
        <f>IF(OR(5&lt;WEEKDAY(A28,2),0&lt;COUNTIF(祝日!A:A,A28)),0,8)</f>
        <v>8</v>
      </c>
      <c r="C28" s="36" t="str">
        <f>IFERROR(
  IF(
    VLOOKUP($A28,祝日!$A:$C,2,FALSE)="",
    "",
    VLOOKUP($A28,祝日!$A:$C,2,FALSE)
  ),
  ""
)</f>
        <v/>
      </c>
      <c r="D28" s="36" t="str">
        <f>IFERROR(
  IF(
    VLOOKUP($A28,祝日!$A:$C,3,FALSE)="",
    "",
    VLOOKUP($A28,祝日!$A:$C,3,FALSE)
  ),
  ""
)</f>
        <v/>
      </c>
    </row>
    <row r="29" spans="1:4" ht="15.75" x14ac:dyDescent="0.25">
      <c r="A29" s="35">
        <v>43858</v>
      </c>
      <c r="B29" s="60">
        <f>IF(OR(5&lt;WEEKDAY(A29,2),0&lt;COUNTIF(祝日!A:A,A29)),0,8)</f>
        <v>8</v>
      </c>
      <c r="C29" s="36" t="str">
        <f>IFERROR(
  IF(
    VLOOKUP($A29,祝日!$A:$C,2,FALSE)="",
    "",
    VLOOKUP($A29,祝日!$A:$C,2,FALSE)
  ),
  ""
)</f>
        <v/>
      </c>
      <c r="D29" s="36" t="str">
        <f>IFERROR(
  IF(
    VLOOKUP($A29,祝日!$A:$C,3,FALSE)="",
    "",
    VLOOKUP($A29,祝日!$A:$C,3,FALSE)
  ),
  ""
)</f>
        <v/>
      </c>
    </row>
    <row r="30" spans="1:4" ht="15.75" x14ac:dyDescent="0.25">
      <c r="A30" s="35">
        <v>43859</v>
      </c>
      <c r="B30" s="60">
        <f>IF(OR(5&lt;WEEKDAY(A30,2),0&lt;COUNTIF(祝日!A:A,A30)),0,8)</f>
        <v>8</v>
      </c>
      <c r="C30" s="36" t="str">
        <f>IFERROR(
  IF(
    VLOOKUP($A30,祝日!$A:$C,2,FALSE)="",
    "",
    VLOOKUP($A30,祝日!$A:$C,2,FALSE)
  ),
  ""
)</f>
        <v/>
      </c>
      <c r="D30" s="36" t="str">
        <f>IFERROR(
  IF(
    VLOOKUP($A30,祝日!$A:$C,3,FALSE)="",
    "",
    VLOOKUP($A30,祝日!$A:$C,3,FALSE)
  ),
  ""
)</f>
        <v/>
      </c>
    </row>
    <row r="31" spans="1:4" ht="15.75" x14ac:dyDescent="0.25">
      <c r="A31" s="35">
        <v>43860</v>
      </c>
      <c r="B31" s="60">
        <f>IF(OR(5&lt;WEEKDAY(A31,2),0&lt;COUNTIF(祝日!A:A,A31)),0,8)</f>
        <v>8</v>
      </c>
      <c r="C31" s="36" t="str">
        <f>IFERROR(
  IF(
    VLOOKUP($A31,祝日!$A:$C,2,FALSE)="",
    "",
    VLOOKUP($A31,祝日!$A:$C,2,FALSE)
  ),
  ""
)</f>
        <v/>
      </c>
      <c r="D31" s="36" t="str">
        <f>IFERROR(
  IF(
    VLOOKUP($A31,祝日!$A:$C,3,FALSE)="",
    "",
    VLOOKUP($A31,祝日!$A:$C,3,FALSE)
  ),
  ""
)</f>
        <v/>
      </c>
    </row>
    <row r="32" spans="1:4" ht="15.75" x14ac:dyDescent="0.25">
      <c r="A32" s="35">
        <v>43861</v>
      </c>
      <c r="B32" s="60">
        <f>IF(OR(5&lt;WEEKDAY(A32,2),0&lt;COUNTIF(祝日!A:A,A32)),0,8)</f>
        <v>8</v>
      </c>
      <c r="C32" s="36" t="str">
        <f>IFERROR(
  IF(
    VLOOKUP($A32,祝日!$A:$C,2,FALSE)="",
    "",
    VLOOKUP($A32,祝日!$A:$C,2,FALSE)
  ),
  ""
)</f>
        <v/>
      </c>
      <c r="D32" s="36" t="str">
        <f>IFERROR(
  IF(
    VLOOKUP($A32,祝日!$A:$C,3,FALSE)="",
    "",
    VLOOKUP($A32,祝日!$A:$C,3,FALSE)
  ),
  ""
)</f>
        <v/>
      </c>
    </row>
    <row r="33" spans="1:4" ht="15.75" x14ac:dyDescent="0.25">
      <c r="A33" s="35">
        <v>43862</v>
      </c>
      <c r="B33" s="60">
        <f>IF(OR(5&lt;WEEKDAY(A33,2),0&lt;COUNTIF(祝日!A:A,A33)),0,8)</f>
        <v>0</v>
      </c>
      <c r="C33" s="36" t="str">
        <f>IFERROR(
  IF(
    VLOOKUP($A33,祝日!$A:$C,2,FALSE)="",
    "",
    VLOOKUP($A33,祝日!$A:$C,2,FALSE)
  ),
  ""
)</f>
        <v/>
      </c>
      <c r="D33" s="36" t="str">
        <f>IFERROR(
  IF(
    VLOOKUP($A33,祝日!$A:$C,3,FALSE)="",
    "",
    VLOOKUP($A33,祝日!$A:$C,3,FALSE)
  ),
  ""
)</f>
        <v/>
      </c>
    </row>
    <row r="34" spans="1:4" ht="15.75" x14ac:dyDescent="0.25">
      <c r="A34" s="35">
        <v>43863</v>
      </c>
      <c r="B34" s="60">
        <f>IF(OR(5&lt;WEEKDAY(A34,2),0&lt;COUNTIF(祝日!A:A,A34)),0,8)</f>
        <v>0</v>
      </c>
      <c r="C34" s="36" t="str">
        <f>IFERROR(
  IF(
    VLOOKUP($A34,祝日!$A:$C,2,FALSE)="",
    "",
    VLOOKUP($A34,祝日!$A:$C,2,FALSE)
  ),
  ""
)</f>
        <v/>
      </c>
      <c r="D34" s="36" t="str">
        <f>IFERROR(
  IF(
    VLOOKUP($A34,祝日!$A:$C,3,FALSE)="",
    "",
    VLOOKUP($A34,祝日!$A:$C,3,FALSE)
  ),
  ""
)</f>
        <v/>
      </c>
    </row>
    <row r="35" spans="1:4" ht="15.75" x14ac:dyDescent="0.25">
      <c r="A35" s="35">
        <v>43864</v>
      </c>
      <c r="B35" s="60">
        <f>IF(OR(5&lt;WEEKDAY(A35,2),0&lt;COUNTIF(祝日!A:A,A35)),0,8)</f>
        <v>8</v>
      </c>
      <c r="C35" s="36" t="str">
        <f>IFERROR(
  IF(
    VLOOKUP($A35,祝日!$A:$C,2,FALSE)="",
    "",
    VLOOKUP($A35,祝日!$A:$C,2,FALSE)
  ),
  ""
)</f>
        <v/>
      </c>
      <c r="D35" s="36" t="str">
        <f>IFERROR(
  IF(
    VLOOKUP($A35,祝日!$A:$C,3,FALSE)="",
    "",
    VLOOKUP($A35,祝日!$A:$C,3,FALSE)
  ),
  ""
)</f>
        <v/>
      </c>
    </row>
    <row r="36" spans="1:4" ht="15.75" x14ac:dyDescent="0.25">
      <c r="A36" s="35">
        <v>43865</v>
      </c>
      <c r="B36" s="60">
        <f>IF(OR(5&lt;WEEKDAY(A36,2),0&lt;COUNTIF(祝日!A:A,A36)),0,8)</f>
        <v>8</v>
      </c>
      <c r="C36" s="36" t="str">
        <f>IFERROR(
  IF(
    VLOOKUP($A36,祝日!$A:$C,2,FALSE)="",
    "",
    VLOOKUP($A36,祝日!$A:$C,2,FALSE)
  ),
  ""
)</f>
        <v/>
      </c>
      <c r="D36" s="36" t="str">
        <f>IFERROR(
  IF(
    VLOOKUP($A36,祝日!$A:$C,3,FALSE)="",
    "",
    VLOOKUP($A36,祝日!$A:$C,3,FALSE)
  ),
  ""
)</f>
        <v/>
      </c>
    </row>
    <row r="37" spans="1:4" ht="15.75" x14ac:dyDescent="0.25">
      <c r="A37" s="35">
        <v>43866</v>
      </c>
      <c r="B37" s="60">
        <f>IF(OR(5&lt;WEEKDAY(A37,2),0&lt;COUNTIF(祝日!A:A,A37)),0,8)</f>
        <v>8</v>
      </c>
      <c r="C37" s="36" t="str">
        <f>IFERROR(
  IF(
    VLOOKUP($A37,祝日!$A:$C,2,FALSE)="",
    "",
    VLOOKUP($A37,祝日!$A:$C,2,FALSE)
  ),
  ""
)</f>
        <v/>
      </c>
      <c r="D37" s="36" t="str">
        <f>IFERROR(
  IF(
    VLOOKUP($A37,祝日!$A:$C,3,FALSE)="",
    "",
    VLOOKUP($A37,祝日!$A:$C,3,FALSE)
  ),
  ""
)</f>
        <v/>
      </c>
    </row>
    <row r="38" spans="1:4" ht="15.75" x14ac:dyDescent="0.25">
      <c r="A38" s="35">
        <v>43867</v>
      </c>
      <c r="B38" s="60">
        <f>IF(OR(5&lt;WEEKDAY(A38,2),0&lt;COUNTIF(祝日!A:A,A38)),0,8)</f>
        <v>8</v>
      </c>
      <c r="C38" s="36" t="str">
        <f>IFERROR(
  IF(
    VLOOKUP($A38,祝日!$A:$C,2,FALSE)="",
    "",
    VLOOKUP($A38,祝日!$A:$C,2,FALSE)
  ),
  ""
)</f>
        <v/>
      </c>
      <c r="D38" s="36" t="str">
        <f>IFERROR(
  IF(
    VLOOKUP($A38,祝日!$A:$C,3,FALSE)="",
    "",
    VLOOKUP($A38,祝日!$A:$C,3,FALSE)
  ),
  ""
)</f>
        <v/>
      </c>
    </row>
    <row r="39" spans="1:4" ht="15.75" x14ac:dyDescent="0.25">
      <c r="A39" s="35">
        <v>43868</v>
      </c>
      <c r="B39" s="60">
        <f>IF(OR(5&lt;WEEKDAY(A39,2),0&lt;COUNTIF(祝日!A:A,A39)),0,8)</f>
        <v>8</v>
      </c>
      <c r="C39" s="36" t="str">
        <f>IFERROR(
  IF(
    VLOOKUP($A39,祝日!$A:$C,2,FALSE)="",
    "",
    VLOOKUP($A39,祝日!$A:$C,2,FALSE)
  ),
  ""
)</f>
        <v/>
      </c>
      <c r="D39" s="36" t="str">
        <f>IFERROR(
  IF(
    VLOOKUP($A39,祝日!$A:$C,3,FALSE)="",
    "",
    VLOOKUP($A39,祝日!$A:$C,3,FALSE)
  ),
  ""
)</f>
        <v/>
      </c>
    </row>
    <row r="40" spans="1:4" ht="15.75" x14ac:dyDescent="0.25">
      <c r="A40" s="35">
        <v>43869</v>
      </c>
      <c r="B40" s="60">
        <f>IF(OR(5&lt;WEEKDAY(A40,2),0&lt;COUNTIF(祝日!A:A,A40)),0,8)</f>
        <v>0</v>
      </c>
      <c r="C40" s="36" t="str">
        <f>IFERROR(
  IF(
    VLOOKUP($A40,祝日!$A:$C,2,FALSE)="",
    "",
    VLOOKUP($A40,祝日!$A:$C,2,FALSE)
  ),
  ""
)</f>
        <v/>
      </c>
      <c r="D40" s="36" t="str">
        <f>IFERROR(
  IF(
    VLOOKUP($A40,祝日!$A:$C,3,FALSE)="",
    "",
    VLOOKUP($A40,祝日!$A:$C,3,FALSE)
  ),
  ""
)</f>
        <v/>
      </c>
    </row>
    <row r="41" spans="1:4" ht="15.75" x14ac:dyDescent="0.25">
      <c r="A41" s="35">
        <v>43870</v>
      </c>
      <c r="B41" s="60">
        <f>IF(OR(5&lt;WEEKDAY(A41,2),0&lt;COUNTIF(祝日!A:A,A41)),0,8)</f>
        <v>0</v>
      </c>
      <c r="C41" s="36" t="str">
        <f>IFERROR(
  IF(
    VLOOKUP($A41,祝日!$A:$C,2,FALSE)="",
    "",
    VLOOKUP($A41,祝日!$A:$C,2,FALSE)
  ),
  ""
)</f>
        <v/>
      </c>
      <c r="D41" s="36" t="str">
        <f>IFERROR(
  IF(
    VLOOKUP($A41,祝日!$A:$C,3,FALSE)="",
    "",
    VLOOKUP($A41,祝日!$A:$C,3,FALSE)
  ),
  ""
)</f>
        <v/>
      </c>
    </row>
    <row r="42" spans="1:4" ht="15.75" x14ac:dyDescent="0.25">
      <c r="A42" s="35">
        <v>43871</v>
      </c>
      <c r="B42" s="60">
        <f>IF(OR(5&lt;WEEKDAY(A42,2),0&lt;COUNTIF(祝日!A:A,A42)),0,8)</f>
        <v>8</v>
      </c>
      <c r="C42" s="36" t="str">
        <f>IFERROR(
  IF(
    VLOOKUP($A42,祝日!$A:$C,2,FALSE)="",
    "",
    VLOOKUP($A42,祝日!$A:$C,2,FALSE)
  ),
  ""
)</f>
        <v/>
      </c>
      <c r="D42" s="36" t="str">
        <f>IFERROR(
  IF(
    VLOOKUP($A42,祝日!$A:$C,3,FALSE)="",
    "",
    VLOOKUP($A42,祝日!$A:$C,3,FALSE)
  ),
  ""
)</f>
        <v/>
      </c>
    </row>
    <row r="43" spans="1:4" ht="15.75" x14ac:dyDescent="0.25">
      <c r="A43" s="35">
        <v>43872</v>
      </c>
      <c r="B43" s="60">
        <f>IF(OR(5&lt;WEEKDAY(A43,2),0&lt;COUNTIF(祝日!A:A,A43)),0,8)</f>
        <v>0</v>
      </c>
      <c r="C43" s="36" t="str">
        <f>IFERROR(
  IF(
    VLOOKUP($A43,祝日!$A:$C,2,FALSE)="",
    "",
    VLOOKUP($A43,祝日!$A:$C,2,FALSE)
  ),
  ""
)</f>
        <v xml:space="preserve">建国記念の日 </v>
      </c>
      <c r="D43" s="36" t="str">
        <f>IFERROR(
  IF(
    VLOOKUP($A43,祝日!$A:$C,3,FALSE)="",
    "",
    VLOOKUP($A43,祝日!$A:$C,3,FALSE)
  ),
  ""
)</f>
        <v/>
      </c>
    </row>
    <row r="44" spans="1:4" ht="15.75" x14ac:dyDescent="0.25">
      <c r="A44" s="35">
        <v>43873</v>
      </c>
      <c r="B44" s="60">
        <f>IF(OR(5&lt;WEEKDAY(A44,2),0&lt;COUNTIF(祝日!A:A,A44)),0,8)</f>
        <v>8</v>
      </c>
      <c r="C44" s="36" t="str">
        <f>IFERROR(
  IF(
    VLOOKUP($A44,祝日!$A:$C,2,FALSE)="",
    "",
    VLOOKUP($A44,祝日!$A:$C,2,FALSE)
  ),
  ""
)</f>
        <v/>
      </c>
      <c r="D44" s="36" t="str">
        <f>IFERROR(
  IF(
    VLOOKUP($A44,祝日!$A:$C,3,FALSE)="",
    "",
    VLOOKUP($A44,祝日!$A:$C,3,FALSE)
  ),
  ""
)</f>
        <v/>
      </c>
    </row>
    <row r="45" spans="1:4" ht="15.75" x14ac:dyDescent="0.25">
      <c r="A45" s="35">
        <v>43874</v>
      </c>
      <c r="B45" s="60">
        <f>IF(OR(5&lt;WEEKDAY(A45,2),0&lt;COUNTIF(祝日!A:A,A45)),0,8)</f>
        <v>8</v>
      </c>
      <c r="C45" s="36" t="str">
        <f>IFERROR(
  IF(
    VLOOKUP($A45,祝日!$A:$C,2,FALSE)="",
    "",
    VLOOKUP($A45,祝日!$A:$C,2,FALSE)
  ),
  ""
)</f>
        <v/>
      </c>
      <c r="D45" s="36" t="str">
        <f>IFERROR(
  IF(
    VLOOKUP($A45,祝日!$A:$C,3,FALSE)="",
    "",
    VLOOKUP($A45,祝日!$A:$C,3,FALSE)
  ),
  ""
)</f>
        <v/>
      </c>
    </row>
    <row r="46" spans="1:4" ht="15.75" x14ac:dyDescent="0.25">
      <c r="A46" s="35">
        <v>43875</v>
      </c>
      <c r="B46" s="60">
        <f>IF(OR(5&lt;WEEKDAY(A46,2),0&lt;COUNTIF(祝日!A:A,A46)),0,8)</f>
        <v>8</v>
      </c>
      <c r="C46" s="36" t="str">
        <f>IFERROR(
  IF(
    VLOOKUP($A46,祝日!$A:$C,2,FALSE)="",
    "",
    VLOOKUP($A46,祝日!$A:$C,2,FALSE)
  ),
  ""
)</f>
        <v/>
      </c>
      <c r="D46" s="36" t="str">
        <f>IFERROR(
  IF(
    VLOOKUP($A46,祝日!$A:$C,3,FALSE)="",
    "",
    VLOOKUP($A46,祝日!$A:$C,3,FALSE)
  ),
  ""
)</f>
        <v/>
      </c>
    </row>
    <row r="47" spans="1:4" ht="15.75" x14ac:dyDescent="0.25">
      <c r="A47" s="35">
        <v>43876</v>
      </c>
      <c r="B47" s="60">
        <f>IF(OR(5&lt;WEEKDAY(A47,2),0&lt;COUNTIF(祝日!A:A,A47)),0,8)</f>
        <v>0</v>
      </c>
      <c r="C47" s="36" t="str">
        <f>IFERROR(
  IF(
    VLOOKUP($A47,祝日!$A:$C,2,FALSE)="",
    "",
    VLOOKUP($A47,祝日!$A:$C,2,FALSE)
  ),
  ""
)</f>
        <v/>
      </c>
      <c r="D47" s="36" t="str">
        <f>IFERROR(
  IF(
    VLOOKUP($A47,祝日!$A:$C,3,FALSE)="",
    "",
    VLOOKUP($A47,祝日!$A:$C,3,FALSE)
  ),
  ""
)</f>
        <v/>
      </c>
    </row>
    <row r="48" spans="1:4" ht="15.75" x14ac:dyDescent="0.25">
      <c r="A48" s="35">
        <v>43877</v>
      </c>
      <c r="B48" s="60">
        <f>IF(OR(5&lt;WEEKDAY(A48,2),0&lt;COUNTIF(祝日!A:A,A48)),0,8)</f>
        <v>0</v>
      </c>
      <c r="C48" s="36" t="str">
        <f>IFERROR(
  IF(
    VLOOKUP($A48,祝日!$A:$C,2,FALSE)="",
    "",
    VLOOKUP($A48,祝日!$A:$C,2,FALSE)
  ),
  ""
)</f>
        <v/>
      </c>
      <c r="D48" s="36" t="str">
        <f>IFERROR(
  IF(
    VLOOKUP($A48,祝日!$A:$C,3,FALSE)="",
    "",
    VLOOKUP($A48,祝日!$A:$C,3,FALSE)
  ),
  ""
)</f>
        <v/>
      </c>
    </row>
    <row r="49" spans="1:4" ht="15.75" x14ac:dyDescent="0.25">
      <c r="A49" s="35">
        <v>43878</v>
      </c>
      <c r="B49" s="60">
        <f>IF(OR(5&lt;WEEKDAY(A49,2),0&lt;COUNTIF(祝日!A:A,A49)),0,8)</f>
        <v>8</v>
      </c>
      <c r="C49" s="36" t="str">
        <f>IFERROR(
  IF(
    VLOOKUP($A49,祝日!$A:$C,2,FALSE)="",
    "",
    VLOOKUP($A49,祝日!$A:$C,2,FALSE)
  ),
  ""
)</f>
        <v/>
      </c>
      <c r="D49" s="36" t="str">
        <f>IFERROR(
  IF(
    VLOOKUP($A49,祝日!$A:$C,3,FALSE)="",
    "",
    VLOOKUP($A49,祝日!$A:$C,3,FALSE)
  ),
  ""
)</f>
        <v/>
      </c>
    </row>
    <row r="50" spans="1:4" ht="15.75" x14ac:dyDescent="0.25">
      <c r="A50" s="35">
        <v>43879</v>
      </c>
      <c r="B50" s="60">
        <f>IF(OR(5&lt;WEEKDAY(A50,2),0&lt;COUNTIF(祝日!A:A,A50)),0,8)</f>
        <v>8</v>
      </c>
      <c r="C50" s="36" t="str">
        <f>IFERROR(
  IF(
    VLOOKUP($A50,祝日!$A:$C,2,FALSE)="",
    "",
    VLOOKUP($A50,祝日!$A:$C,2,FALSE)
  ),
  ""
)</f>
        <v/>
      </c>
      <c r="D50" s="36" t="str">
        <f>IFERROR(
  IF(
    VLOOKUP($A50,祝日!$A:$C,3,FALSE)="",
    "",
    VLOOKUP($A50,祝日!$A:$C,3,FALSE)
  ),
  ""
)</f>
        <v/>
      </c>
    </row>
    <row r="51" spans="1:4" ht="15.75" x14ac:dyDescent="0.25">
      <c r="A51" s="35">
        <v>43880</v>
      </c>
      <c r="B51" s="60">
        <f>IF(OR(5&lt;WEEKDAY(A51,2),0&lt;COUNTIF(祝日!A:A,A51)),0,8)</f>
        <v>8</v>
      </c>
      <c r="C51" s="36" t="str">
        <f>IFERROR(
  IF(
    VLOOKUP($A51,祝日!$A:$C,2,FALSE)="",
    "",
    VLOOKUP($A51,祝日!$A:$C,2,FALSE)
  ),
  ""
)</f>
        <v/>
      </c>
      <c r="D51" s="36" t="str">
        <f>IFERROR(
  IF(
    VLOOKUP($A51,祝日!$A:$C,3,FALSE)="",
    "",
    VLOOKUP($A51,祝日!$A:$C,3,FALSE)
  ),
  ""
)</f>
        <v/>
      </c>
    </row>
    <row r="52" spans="1:4" ht="15.75" x14ac:dyDescent="0.25">
      <c r="A52" s="35">
        <v>43881</v>
      </c>
      <c r="B52" s="60">
        <f>IF(OR(5&lt;WEEKDAY(A52,2),0&lt;COUNTIF(祝日!A:A,A52)),0,8)</f>
        <v>8</v>
      </c>
      <c r="C52" s="36" t="str">
        <f>IFERROR(
  IF(
    VLOOKUP($A52,祝日!$A:$C,2,FALSE)="",
    "",
    VLOOKUP($A52,祝日!$A:$C,2,FALSE)
  ),
  ""
)</f>
        <v/>
      </c>
      <c r="D52" s="36" t="str">
        <f>IFERROR(
  IF(
    VLOOKUP($A52,祝日!$A:$C,3,FALSE)="",
    "",
    VLOOKUP($A52,祝日!$A:$C,3,FALSE)
  ),
  ""
)</f>
        <v/>
      </c>
    </row>
    <row r="53" spans="1:4" ht="15.75" x14ac:dyDescent="0.25">
      <c r="A53" s="35">
        <v>43882</v>
      </c>
      <c r="B53" s="60">
        <f>IF(OR(5&lt;WEEKDAY(A53,2),0&lt;COUNTIF(祝日!A:A,A53)),0,8)</f>
        <v>8</v>
      </c>
      <c r="C53" s="36" t="str">
        <f>IFERROR(
  IF(
    VLOOKUP($A53,祝日!$A:$C,2,FALSE)="",
    "",
    VLOOKUP($A53,祝日!$A:$C,2,FALSE)
  ),
  ""
)</f>
        <v/>
      </c>
      <c r="D53" s="36" t="str">
        <f>IFERROR(
  IF(
    VLOOKUP($A53,祝日!$A:$C,3,FALSE)="",
    "",
    VLOOKUP($A53,祝日!$A:$C,3,FALSE)
  ),
  ""
)</f>
        <v/>
      </c>
    </row>
    <row r="54" spans="1:4" ht="15.75" x14ac:dyDescent="0.25">
      <c r="A54" s="35">
        <v>43883</v>
      </c>
      <c r="B54" s="60">
        <f>IF(OR(5&lt;WEEKDAY(A54,2),0&lt;COUNTIF(祝日!A:A,A54)),0,8)</f>
        <v>0</v>
      </c>
      <c r="C54" s="36" t="str">
        <f>IFERROR(
  IF(
    VLOOKUP($A54,祝日!$A:$C,2,FALSE)="",
    "",
    VLOOKUP($A54,祝日!$A:$C,2,FALSE)
  ),
  ""
)</f>
        <v/>
      </c>
      <c r="D54" s="36" t="str">
        <f>IFERROR(
  IF(
    VLOOKUP($A54,祝日!$A:$C,3,FALSE)="",
    "",
    VLOOKUP($A54,祝日!$A:$C,3,FALSE)
  ),
  ""
)</f>
        <v/>
      </c>
    </row>
    <row r="55" spans="1:4" ht="15.75" x14ac:dyDescent="0.25">
      <c r="A55" s="35">
        <v>43884</v>
      </c>
      <c r="B55" s="60">
        <f>IF(OR(5&lt;WEEKDAY(A55,2),0&lt;COUNTIF(祝日!A:A,A55)),0,8)</f>
        <v>0</v>
      </c>
      <c r="C55" s="36" t="str">
        <f>IFERROR(
  IF(
    VLOOKUP($A55,祝日!$A:$C,2,FALSE)="",
    "",
    VLOOKUP($A55,祝日!$A:$C,2,FALSE)
  ),
  ""
)</f>
        <v xml:space="preserve">天皇誕生日 </v>
      </c>
      <c r="D55" s="36" t="str">
        <f>IFERROR(
  IF(
    VLOOKUP($A55,祝日!$A:$C,3,FALSE)="",
    "",
    VLOOKUP($A55,祝日!$A:$C,3,FALSE)
  ),
  ""
)</f>
        <v/>
      </c>
    </row>
    <row r="56" spans="1:4" ht="15.75" x14ac:dyDescent="0.25">
      <c r="A56" s="35">
        <v>43885</v>
      </c>
      <c r="B56" s="60">
        <f>IF(OR(5&lt;WEEKDAY(A56,2),0&lt;COUNTIF(祝日!A:A,A56)),0,8)</f>
        <v>0</v>
      </c>
      <c r="C56" s="36" t="str">
        <f>IFERROR(
  IF(
    VLOOKUP($A56,祝日!$A:$C,2,FALSE)="",
    "",
    VLOOKUP($A56,祝日!$A:$C,2,FALSE)
  ),
  ""
)</f>
        <v xml:space="preserve">休日 </v>
      </c>
      <c r="D56" s="36" t="str">
        <f>IFERROR(
  IF(
    VLOOKUP($A56,祝日!$A:$C,3,FALSE)="",
    "",
    VLOOKUP($A56,祝日!$A:$C,3,FALSE)
  ),
  ""
)</f>
        <v>天皇誕生日の振り替え休日</v>
      </c>
    </row>
    <row r="57" spans="1:4" ht="15.75" x14ac:dyDescent="0.25">
      <c r="A57" s="35">
        <v>43886</v>
      </c>
      <c r="B57" s="60">
        <f>IF(OR(5&lt;WEEKDAY(A57,2),0&lt;COUNTIF(祝日!A:A,A57)),0,8)</f>
        <v>8</v>
      </c>
      <c r="C57" s="36" t="str">
        <f>IFERROR(
  IF(
    VLOOKUP($A57,祝日!$A:$C,2,FALSE)="",
    "",
    VLOOKUP($A57,祝日!$A:$C,2,FALSE)
  ),
  ""
)</f>
        <v/>
      </c>
      <c r="D57" s="36" t="str">
        <f>IFERROR(
  IF(
    VLOOKUP($A57,祝日!$A:$C,3,FALSE)="",
    "",
    VLOOKUP($A57,祝日!$A:$C,3,FALSE)
  ),
  ""
)</f>
        <v/>
      </c>
    </row>
    <row r="58" spans="1:4" ht="15.75" x14ac:dyDescent="0.25">
      <c r="A58" s="35">
        <v>43887</v>
      </c>
      <c r="B58" s="60">
        <f>IF(OR(5&lt;WEEKDAY(A58,2),0&lt;COUNTIF(祝日!A:A,A58)),0,8)</f>
        <v>8</v>
      </c>
      <c r="C58" s="36" t="str">
        <f>IFERROR(
  IF(
    VLOOKUP($A58,祝日!$A:$C,2,FALSE)="",
    "",
    VLOOKUP($A58,祝日!$A:$C,2,FALSE)
  ),
  ""
)</f>
        <v/>
      </c>
      <c r="D58" s="36" t="str">
        <f>IFERROR(
  IF(
    VLOOKUP($A58,祝日!$A:$C,3,FALSE)="",
    "",
    VLOOKUP($A58,祝日!$A:$C,3,FALSE)
  ),
  ""
)</f>
        <v/>
      </c>
    </row>
    <row r="59" spans="1:4" ht="15.75" x14ac:dyDescent="0.25">
      <c r="A59" s="35">
        <v>43888</v>
      </c>
      <c r="B59" s="60">
        <f>IF(OR(5&lt;WEEKDAY(A59,2),0&lt;COUNTIF(祝日!A:A,A59)),0,8)</f>
        <v>8</v>
      </c>
      <c r="C59" s="36" t="str">
        <f>IFERROR(
  IF(
    VLOOKUP($A59,祝日!$A:$C,2,FALSE)="",
    "",
    VLOOKUP($A59,祝日!$A:$C,2,FALSE)
  ),
  ""
)</f>
        <v/>
      </c>
      <c r="D59" s="36" t="str">
        <f>IFERROR(
  IF(
    VLOOKUP($A59,祝日!$A:$C,3,FALSE)="",
    "",
    VLOOKUP($A59,祝日!$A:$C,3,FALSE)
  ),
  ""
)</f>
        <v/>
      </c>
    </row>
    <row r="60" spans="1:4" ht="15.75" x14ac:dyDescent="0.25">
      <c r="A60" s="35">
        <v>43889</v>
      </c>
      <c r="B60" s="60">
        <f>IF(OR(5&lt;WEEKDAY(A60,2),0&lt;COUNTIF(祝日!A:A,A60)),0,8)</f>
        <v>8</v>
      </c>
      <c r="C60" s="36" t="str">
        <f>IFERROR(
  IF(
    VLOOKUP($A60,祝日!$A:$C,2,FALSE)="",
    "",
    VLOOKUP($A60,祝日!$A:$C,2,FALSE)
  ),
  ""
)</f>
        <v/>
      </c>
      <c r="D60" s="36" t="str">
        <f>IFERROR(
  IF(
    VLOOKUP($A60,祝日!$A:$C,3,FALSE)="",
    "",
    VLOOKUP($A60,祝日!$A:$C,3,FALSE)
  ),
  ""
)</f>
        <v/>
      </c>
    </row>
    <row r="61" spans="1:4" ht="15.75" x14ac:dyDescent="0.25">
      <c r="A61" s="35">
        <v>43890</v>
      </c>
      <c r="B61" s="60">
        <f>IF(OR(5&lt;WEEKDAY(A61,2),0&lt;COUNTIF(祝日!A:A,A61)),0,8)</f>
        <v>0</v>
      </c>
      <c r="C61" s="36" t="str">
        <f>IFERROR(
  IF(
    VLOOKUP($A61,祝日!$A:$C,2,FALSE)="",
    "",
    VLOOKUP($A61,祝日!$A:$C,2,FALSE)
  ),
  ""
)</f>
        <v/>
      </c>
      <c r="D61" s="36" t="str">
        <f>IFERROR(
  IF(
    VLOOKUP($A61,祝日!$A:$C,3,FALSE)="",
    "",
    VLOOKUP($A61,祝日!$A:$C,3,FALSE)
  ),
  ""
)</f>
        <v/>
      </c>
    </row>
    <row r="62" spans="1:4" ht="15.75" x14ac:dyDescent="0.25">
      <c r="A62" s="35">
        <v>43891</v>
      </c>
      <c r="B62" s="60">
        <f>IF(OR(5&lt;WEEKDAY(A62,2),0&lt;COUNTIF(祝日!A:A,A62)),0,8)</f>
        <v>0</v>
      </c>
      <c r="C62" s="36" t="str">
        <f>IFERROR(
  IF(
    VLOOKUP($A62,祝日!$A:$C,2,FALSE)="",
    "",
    VLOOKUP($A62,祝日!$A:$C,2,FALSE)
  ),
  ""
)</f>
        <v/>
      </c>
      <c r="D62" s="36" t="str">
        <f>IFERROR(
  IF(
    VLOOKUP($A62,祝日!$A:$C,3,FALSE)="",
    "",
    VLOOKUP($A62,祝日!$A:$C,3,FALSE)
  ),
  ""
)</f>
        <v/>
      </c>
    </row>
    <row r="63" spans="1:4" ht="15.75" x14ac:dyDescent="0.25">
      <c r="A63" s="35">
        <v>43892</v>
      </c>
      <c r="B63" s="60">
        <f>IF(OR(5&lt;WEEKDAY(A63,2),0&lt;COUNTIF(祝日!A:A,A63)),0,8)</f>
        <v>8</v>
      </c>
      <c r="C63" s="36" t="str">
        <f>IFERROR(
  IF(
    VLOOKUP($A63,祝日!$A:$C,2,FALSE)="",
    "",
    VLOOKUP($A63,祝日!$A:$C,2,FALSE)
  ),
  ""
)</f>
        <v/>
      </c>
      <c r="D63" s="36" t="str">
        <f>IFERROR(
  IF(
    VLOOKUP($A63,祝日!$A:$C,3,FALSE)="",
    "",
    VLOOKUP($A63,祝日!$A:$C,3,FALSE)
  ),
  ""
)</f>
        <v/>
      </c>
    </row>
    <row r="64" spans="1:4" ht="15.75" x14ac:dyDescent="0.25">
      <c r="A64" s="35">
        <v>43893</v>
      </c>
      <c r="B64" s="60">
        <f>IF(OR(5&lt;WEEKDAY(A64,2),0&lt;COUNTIF(祝日!A:A,A64)),0,8)</f>
        <v>8</v>
      </c>
      <c r="C64" s="36" t="str">
        <f>IFERROR(
  IF(
    VLOOKUP($A64,祝日!$A:$C,2,FALSE)="",
    "",
    VLOOKUP($A64,祝日!$A:$C,2,FALSE)
  ),
  ""
)</f>
        <v/>
      </c>
      <c r="D64" s="36" t="str">
        <f>IFERROR(
  IF(
    VLOOKUP($A64,祝日!$A:$C,3,FALSE)="",
    "",
    VLOOKUP($A64,祝日!$A:$C,3,FALSE)
  ),
  ""
)</f>
        <v/>
      </c>
    </row>
    <row r="65" spans="1:4" ht="15.75" x14ac:dyDescent="0.25">
      <c r="A65" s="35">
        <v>43894</v>
      </c>
      <c r="B65" s="60">
        <f>IF(OR(5&lt;WEEKDAY(A65,2),0&lt;COUNTIF(祝日!A:A,A65)),0,8)</f>
        <v>8</v>
      </c>
      <c r="C65" s="36" t="str">
        <f>IFERROR(
  IF(
    VLOOKUP($A65,祝日!$A:$C,2,FALSE)="",
    "",
    VLOOKUP($A65,祝日!$A:$C,2,FALSE)
  ),
  ""
)</f>
        <v/>
      </c>
      <c r="D65" s="36" t="str">
        <f>IFERROR(
  IF(
    VLOOKUP($A65,祝日!$A:$C,3,FALSE)="",
    "",
    VLOOKUP($A65,祝日!$A:$C,3,FALSE)
  ),
  ""
)</f>
        <v/>
      </c>
    </row>
    <row r="66" spans="1:4" ht="15.75" x14ac:dyDescent="0.25">
      <c r="A66" s="35">
        <v>43895</v>
      </c>
      <c r="B66" s="60">
        <f>IF(OR(5&lt;WEEKDAY(A66,2),0&lt;COUNTIF(祝日!A:A,A66)),0,8)</f>
        <v>8</v>
      </c>
      <c r="C66" s="36" t="str">
        <f>IFERROR(
  IF(
    VLOOKUP($A66,祝日!$A:$C,2,FALSE)="",
    "",
    VLOOKUP($A66,祝日!$A:$C,2,FALSE)
  ),
  ""
)</f>
        <v/>
      </c>
      <c r="D66" s="36" t="str">
        <f>IFERROR(
  IF(
    VLOOKUP($A66,祝日!$A:$C,3,FALSE)="",
    "",
    VLOOKUP($A66,祝日!$A:$C,3,FALSE)
  ),
  ""
)</f>
        <v/>
      </c>
    </row>
    <row r="67" spans="1:4" ht="15.75" x14ac:dyDescent="0.25">
      <c r="A67" s="35">
        <v>43896</v>
      </c>
      <c r="B67" s="60">
        <f>IF(OR(5&lt;WEEKDAY(A67,2),0&lt;COUNTIF(祝日!A:A,A67)),0,8)</f>
        <v>8</v>
      </c>
      <c r="C67" s="36" t="str">
        <f>IFERROR(
  IF(
    VLOOKUP($A67,祝日!$A:$C,2,FALSE)="",
    "",
    VLOOKUP($A67,祝日!$A:$C,2,FALSE)
  ),
  ""
)</f>
        <v/>
      </c>
      <c r="D67" s="36" t="str">
        <f>IFERROR(
  IF(
    VLOOKUP($A67,祝日!$A:$C,3,FALSE)="",
    "",
    VLOOKUP($A67,祝日!$A:$C,3,FALSE)
  ),
  ""
)</f>
        <v/>
      </c>
    </row>
    <row r="68" spans="1:4" ht="15.75" x14ac:dyDescent="0.25">
      <c r="A68" s="35">
        <v>43897</v>
      </c>
      <c r="B68" s="60">
        <f>IF(OR(5&lt;WEEKDAY(A68,2),0&lt;COUNTIF(祝日!A:A,A68)),0,8)</f>
        <v>0</v>
      </c>
      <c r="C68" s="36" t="str">
        <f>IFERROR(
  IF(
    VLOOKUP($A68,祝日!$A:$C,2,FALSE)="",
    "",
    VLOOKUP($A68,祝日!$A:$C,2,FALSE)
  ),
  ""
)</f>
        <v/>
      </c>
      <c r="D68" s="36" t="str">
        <f>IFERROR(
  IF(
    VLOOKUP($A68,祝日!$A:$C,3,FALSE)="",
    "",
    VLOOKUP($A68,祝日!$A:$C,3,FALSE)
  ),
  ""
)</f>
        <v/>
      </c>
    </row>
    <row r="69" spans="1:4" ht="15.75" x14ac:dyDescent="0.25">
      <c r="A69" s="35">
        <v>43898</v>
      </c>
      <c r="B69" s="60">
        <f>IF(OR(5&lt;WEEKDAY(A69,2),0&lt;COUNTIF(祝日!A:A,A69)),0,8)</f>
        <v>0</v>
      </c>
      <c r="C69" s="36" t="str">
        <f>IFERROR(
  IF(
    VLOOKUP($A69,祝日!$A:$C,2,FALSE)="",
    "",
    VLOOKUP($A69,祝日!$A:$C,2,FALSE)
  ),
  ""
)</f>
        <v/>
      </c>
      <c r="D69" s="36" t="str">
        <f>IFERROR(
  IF(
    VLOOKUP($A69,祝日!$A:$C,3,FALSE)="",
    "",
    VLOOKUP($A69,祝日!$A:$C,3,FALSE)
  ),
  ""
)</f>
        <v/>
      </c>
    </row>
    <row r="70" spans="1:4" ht="15.75" x14ac:dyDescent="0.25">
      <c r="A70" s="35">
        <v>43899</v>
      </c>
      <c r="B70" s="60">
        <f>IF(OR(5&lt;WEEKDAY(A70,2),0&lt;COUNTIF(祝日!A:A,A70)),0,8)</f>
        <v>8</v>
      </c>
      <c r="C70" s="36" t="str">
        <f>IFERROR(
  IF(
    VLOOKUP($A70,祝日!$A:$C,2,FALSE)="",
    "",
    VLOOKUP($A70,祝日!$A:$C,2,FALSE)
  ),
  ""
)</f>
        <v/>
      </c>
      <c r="D70" s="36" t="str">
        <f>IFERROR(
  IF(
    VLOOKUP($A70,祝日!$A:$C,3,FALSE)="",
    "",
    VLOOKUP($A70,祝日!$A:$C,3,FALSE)
  ),
  ""
)</f>
        <v/>
      </c>
    </row>
    <row r="71" spans="1:4" ht="15.75" x14ac:dyDescent="0.25">
      <c r="A71" s="35">
        <v>43900</v>
      </c>
      <c r="B71" s="60">
        <f>IF(OR(5&lt;WEEKDAY(A71,2),0&lt;COUNTIF(祝日!A:A,A71)),0,8)</f>
        <v>8</v>
      </c>
      <c r="C71" s="36" t="str">
        <f>IFERROR(
  IF(
    VLOOKUP($A71,祝日!$A:$C,2,FALSE)="",
    "",
    VLOOKUP($A71,祝日!$A:$C,2,FALSE)
  ),
  ""
)</f>
        <v/>
      </c>
      <c r="D71" s="36" t="str">
        <f>IFERROR(
  IF(
    VLOOKUP($A71,祝日!$A:$C,3,FALSE)="",
    "",
    VLOOKUP($A71,祝日!$A:$C,3,FALSE)
  ),
  ""
)</f>
        <v/>
      </c>
    </row>
    <row r="72" spans="1:4" ht="15.75" x14ac:dyDescent="0.25">
      <c r="A72" s="35">
        <v>43901</v>
      </c>
      <c r="B72" s="60">
        <f>IF(OR(5&lt;WEEKDAY(A72,2),0&lt;COUNTIF(祝日!A:A,A72)),0,8)</f>
        <v>8</v>
      </c>
      <c r="C72" s="36" t="str">
        <f>IFERROR(
  IF(
    VLOOKUP($A72,祝日!$A:$C,2,FALSE)="",
    "",
    VLOOKUP($A72,祝日!$A:$C,2,FALSE)
  ),
  ""
)</f>
        <v/>
      </c>
      <c r="D72" s="36" t="str">
        <f>IFERROR(
  IF(
    VLOOKUP($A72,祝日!$A:$C,3,FALSE)="",
    "",
    VLOOKUP($A72,祝日!$A:$C,3,FALSE)
  ),
  ""
)</f>
        <v/>
      </c>
    </row>
    <row r="73" spans="1:4" ht="15.75" x14ac:dyDescent="0.25">
      <c r="A73" s="35">
        <v>43902</v>
      </c>
      <c r="B73" s="60">
        <f>IF(OR(5&lt;WEEKDAY(A73,2),0&lt;COUNTIF(祝日!A:A,A73)),0,8)</f>
        <v>8</v>
      </c>
      <c r="C73" s="36" t="str">
        <f>IFERROR(
  IF(
    VLOOKUP($A73,祝日!$A:$C,2,FALSE)="",
    "",
    VLOOKUP($A73,祝日!$A:$C,2,FALSE)
  ),
  ""
)</f>
        <v/>
      </c>
      <c r="D73" s="36" t="str">
        <f>IFERROR(
  IF(
    VLOOKUP($A73,祝日!$A:$C,3,FALSE)="",
    "",
    VLOOKUP($A73,祝日!$A:$C,3,FALSE)
  ),
  ""
)</f>
        <v/>
      </c>
    </row>
    <row r="74" spans="1:4" ht="15.75" x14ac:dyDescent="0.25">
      <c r="A74" s="35">
        <v>43903</v>
      </c>
      <c r="B74" s="60">
        <f>IF(OR(5&lt;WEEKDAY(A74,2),0&lt;COUNTIF(祝日!A:A,A74)),0,8)</f>
        <v>8</v>
      </c>
      <c r="C74" s="36" t="str">
        <f>IFERROR(
  IF(
    VLOOKUP($A74,祝日!$A:$C,2,FALSE)="",
    "",
    VLOOKUP($A74,祝日!$A:$C,2,FALSE)
  ),
  ""
)</f>
        <v/>
      </c>
      <c r="D74" s="36" t="str">
        <f>IFERROR(
  IF(
    VLOOKUP($A74,祝日!$A:$C,3,FALSE)="",
    "",
    VLOOKUP($A74,祝日!$A:$C,3,FALSE)
  ),
  ""
)</f>
        <v/>
      </c>
    </row>
    <row r="75" spans="1:4" ht="15.75" x14ac:dyDescent="0.25">
      <c r="A75" s="35">
        <v>43904</v>
      </c>
      <c r="B75" s="60">
        <f>IF(OR(5&lt;WEEKDAY(A75,2),0&lt;COUNTIF(祝日!A:A,A75)),0,8)</f>
        <v>0</v>
      </c>
      <c r="C75" s="36" t="str">
        <f>IFERROR(
  IF(
    VLOOKUP($A75,祝日!$A:$C,2,FALSE)="",
    "",
    VLOOKUP($A75,祝日!$A:$C,2,FALSE)
  ),
  ""
)</f>
        <v/>
      </c>
      <c r="D75" s="36" t="str">
        <f>IFERROR(
  IF(
    VLOOKUP($A75,祝日!$A:$C,3,FALSE)="",
    "",
    VLOOKUP($A75,祝日!$A:$C,3,FALSE)
  ),
  ""
)</f>
        <v/>
      </c>
    </row>
    <row r="76" spans="1:4" ht="15.75" x14ac:dyDescent="0.25">
      <c r="A76" s="35">
        <v>43905</v>
      </c>
      <c r="B76" s="60">
        <f>IF(OR(5&lt;WEEKDAY(A76,2),0&lt;COUNTIF(祝日!A:A,A76)),0,8)</f>
        <v>0</v>
      </c>
      <c r="C76" s="36" t="str">
        <f>IFERROR(
  IF(
    VLOOKUP($A76,祝日!$A:$C,2,FALSE)="",
    "",
    VLOOKUP($A76,祝日!$A:$C,2,FALSE)
  ),
  ""
)</f>
        <v/>
      </c>
      <c r="D76" s="36" t="str">
        <f>IFERROR(
  IF(
    VLOOKUP($A76,祝日!$A:$C,3,FALSE)="",
    "",
    VLOOKUP($A76,祝日!$A:$C,3,FALSE)
  ),
  ""
)</f>
        <v/>
      </c>
    </row>
    <row r="77" spans="1:4" ht="15.75" x14ac:dyDescent="0.25">
      <c r="A77" s="35">
        <v>43906</v>
      </c>
      <c r="B77" s="60">
        <f>IF(OR(5&lt;WEEKDAY(A77,2),0&lt;COUNTIF(祝日!A:A,A77)),0,8)</f>
        <v>8</v>
      </c>
      <c r="C77" s="36" t="str">
        <f>IFERROR(
  IF(
    VLOOKUP($A77,祝日!$A:$C,2,FALSE)="",
    "",
    VLOOKUP($A77,祝日!$A:$C,2,FALSE)
  ),
  ""
)</f>
        <v/>
      </c>
      <c r="D77" s="36" t="str">
        <f>IFERROR(
  IF(
    VLOOKUP($A77,祝日!$A:$C,3,FALSE)="",
    "",
    VLOOKUP($A77,祝日!$A:$C,3,FALSE)
  ),
  ""
)</f>
        <v/>
      </c>
    </row>
    <row r="78" spans="1:4" ht="15.75" x14ac:dyDescent="0.25">
      <c r="A78" s="35">
        <v>43907</v>
      </c>
      <c r="B78" s="60">
        <f>IF(OR(5&lt;WEEKDAY(A78,2),0&lt;COUNTIF(祝日!A:A,A78)),0,8)</f>
        <v>8</v>
      </c>
      <c r="C78" s="36" t="str">
        <f>IFERROR(
  IF(
    VLOOKUP($A78,祝日!$A:$C,2,FALSE)="",
    "",
    VLOOKUP($A78,祝日!$A:$C,2,FALSE)
  ),
  ""
)</f>
        <v/>
      </c>
      <c r="D78" s="36" t="str">
        <f>IFERROR(
  IF(
    VLOOKUP($A78,祝日!$A:$C,3,FALSE)="",
    "",
    VLOOKUP($A78,祝日!$A:$C,3,FALSE)
  ),
  ""
)</f>
        <v/>
      </c>
    </row>
    <row r="79" spans="1:4" ht="15.75" x14ac:dyDescent="0.25">
      <c r="A79" s="35">
        <v>43908</v>
      </c>
      <c r="B79" s="60">
        <f>IF(OR(5&lt;WEEKDAY(A79,2),0&lt;COUNTIF(祝日!A:A,A79)),0,8)</f>
        <v>8</v>
      </c>
      <c r="C79" s="36" t="str">
        <f>IFERROR(
  IF(
    VLOOKUP($A79,祝日!$A:$C,2,FALSE)="",
    "",
    VLOOKUP($A79,祝日!$A:$C,2,FALSE)
  ),
  ""
)</f>
        <v/>
      </c>
      <c r="D79" s="36" t="str">
        <f>IFERROR(
  IF(
    VLOOKUP($A79,祝日!$A:$C,3,FALSE)="",
    "",
    VLOOKUP($A79,祝日!$A:$C,3,FALSE)
  ),
  ""
)</f>
        <v/>
      </c>
    </row>
    <row r="80" spans="1:4" ht="15.75" x14ac:dyDescent="0.25">
      <c r="A80" s="35">
        <v>43909</v>
      </c>
      <c r="B80" s="60">
        <f>IF(OR(5&lt;WEEKDAY(A80,2),0&lt;COUNTIF(祝日!A:A,A80)),0,8)</f>
        <v>8</v>
      </c>
      <c r="C80" s="36" t="str">
        <f>IFERROR(
  IF(
    VLOOKUP($A80,祝日!$A:$C,2,FALSE)="",
    "",
    VLOOKUP($A80,祝日!$A:$C,2,FALSE)
  ),
  ""
)</f>
        <v/>
      </c>
      <c r="D80" s="36" t="str">
        <f>IFERROR(
  IF(
    VLOOKUP($A80,祝日!$A:$C,3,FALSE)="",
    "",
    VLOOKUP($A80,祝日!$A:$C,3,FALSE)
  ),
  ""
)</f>
        <v/>
      </c>
    </row>
    <row r="81" spans="1:4" ht="15.75" x14ac:dyDescent="0.25">
      <c r="A81" s="35">
        <v>43910</v>
      </c>
      <c r="B81" s="60">
        <f>IF(OR(5&lt;WEEKDAY(A81,2),0&lt;COUNTIF(祝日!A:A,A81)),0,8)</f>
        <v>0</v>
      </c>
      <c r="C81" s="36" t="str">
        <f>IFERROR(
  IF(
    VLOOKUP($A81,祝日!$A:$C,2,FALSE)="",
    "",
    VLOOKUP($A81,祝日!$A:$C,2,FALSE)
  ),
  ""
)</f>
        <v xml:space="preserve">春分の日 </v>
      </c>
      <c r="D81" s="36" t="str">
        <f>IFERROR(
  IF(
    VLOOKUP($A81,祝日!$A:$C,3,FALSE)="",
    "",
    VLOOKUP($A81,祝日!$A:$C,3,FALSE)
  ),
  ""
)</f>
        <v/>
      </c>
    </row>
    <row r="82" spans="1:4" ht="15.75" x14ac:dyDescent="0.25">
      <c r="A82" s="35">
        <v>43911</v>
      </c>
      <c r="B82" s="60">
        <f>IF(OR(5&lt;WEEKDAY(A82,2),0&lt;COUNTIF(祝日!A:A,A82)),0,8)</f>
        <v>0</v>
      </c>
      <c r="C82" s="36" t="str">
        <f>IFERROR(
  IF(
    VLOOKUP($A82,祝日!$A:$C,2,FALSE)="",
    "",
    VLOOKUP($A82,祝日!$A:$C,2,FALSE)
  ),
  ""
)</f>
        <v/>
      </c>
      <c r="D82" s="36" t="str">
        <f>IFERROR(
  IF(
    VLOOKUP($A82,祝日!$A:$C,3,FALSE)="",
    "",
    VLOOKUP($A82,祝日!$A:$C,3,FALSE)
  ),
  ""
)</f>
        <v/>
      </c>
    </row>
    <row r="83" spans="1:4" ht="15.75" x14ac:dyDescent="0.25">
      <c r="A83" s="35">
        <v>43912</v>
      </c>
      <c r="B83" s="60">
        <f>IF(OR(5&lt;WEEKDAY(A83,2),0&lt;COUNTIF(祝日!A:A,A83)),0,8)</f>
        <v>0</v>
      </c>
      <c r="C83" s="36" t="str">
        <f>IFERROR(
  IF(
    VLOOKUP($A83,祝日!$A:$C,2,FALSE)="",
    "",
    VLOOKUP($A83,祝日!$A:$C,2,FALSE)
  ),
  ""
)</f>
        <v/>
      </c>
      <c r="D83" s="36" t="str">
        <f>IFERROR(
  IF(
    VLOOKUP($A83,祝日!$A:$C,3,FALSE)="",
    "",
    VLOOKUP($A83,祝日!$A:$C,3,FALSE)
  ),
  ""
)</f>
        <v/>
      </c>
    </row>
    <row r="84" spans="1:4" ht="15.75" x14ac:dyDescent="0.25">
      <c r="A84" s="35">
        <v>43913</v>
      </c>
      <c r="B84" s="60">
        <f>IF(OR(5&lt;WEEKDAY(A84,2),0&lt;COUNTIF(祝日!A:A,A84)),0,8)</f>
        <v>8</v>
      </c>
      <c r="C84" s="36" t="str">
        <f>IFERROR(
  IF(
    VLOOKUP($A84,祝日!$A:$C,2,FALSE)="",
    "",
    VLOOKUP($A84,祝日!$A:$C,2,FALSE)
  ),
  ""
)</f>
        <v/>
      </c>
      <c r="D84" s="36" t="str">
        <f>IFERROR(
  IF(
    VLOOKUP($A84,祝日!$A:$C,3,FALSE)="",
    "",
    VLOOKUP($A84,祝日!$A:$C,3,FALSE)
  ),
  ""
)</f>
        <v/>
      </c>
    </row>
    <row r="85" spans="1:4" ht="15.75" x14ac:dyDescent="0.25">
      <c r="A85" s="35">
        <v>43914</v>
      </c>
      <c r="B85" s="60">
        <f>IF(OR(5&lt;WEEKDAY(A85,2),0&lt;COUNTIF(祝日!A:A,A85)),0,8)</f>
        <v>8</v>
      </c>
      <c r="C85" s="36" t="str">
        <f>IFERROR(
  IF(
    VLOOKUP($A85,祝日!$A:$C,2,FALSE)="",
    "",
    VLOOKUP($A85,祝日!$A:$C,2,FALSE)
  ),
  ""
)</f>
        <v/>
      </c>
      <c r="D85" s="36" t="str">
        <f>IFERROR(
  IF(
    VLOOKUP($A85,祝日!$A:$C,3,FALSE)="",
    "",
    VLOOKUP($A85,祝日!$A:$C,3,FALSE)
  ),
  ""
)</f>
        <v/>
      </c>
    </row>
    <row r="86" spans="1:4" ht="15.75" x14ac:dyDescent="0.25">
      <c r="A86" s="35">
        <v>43915</v>
      </c>
      <c r="B86" s="60">
        <f>IF(OR(5&lt;WEEKDAY(A86,2),0&lt;COUNTIF(祝日!A:A,A86)),0,8)</f>
        <v>8</v>
      </c>
      <c r="C86" s="36" t="str">
        <f>IFERROR(
  IF(
    VLOOKUP($A86,祝日!$A:$C,2,FALSE)="",
    "",
    VLOOKUP($A86,祝日!$A:$C,2,FALSE)
  ),
  ""
)</f>
        <v/>
      </c>
      <c r="D86" s="36" t="str">
        <f>IFERROR(
  IF(
    VLOOKUP($A86,祝日!$A:$C,3,FALSE)="",
    "",
    VLOOKUP($A86,祝日!$A:$C,3,FALSE)
  ),
  ""
)</f>
        <v/>
      </c>
    </row>
    <row r="87" spans="1:4" ht="15.75" x14ac:dyDescent="0.25">
      <c r="A87" s="35">
        <v>43916</v>
      </c>
      <c r="B87" s="60">
        <f>IF(OR(5&lt;WEEKDAY(A87,2),0&lt;COUNTIF(祝日!A:A,A87)),0,8)</f>
        <v>8</v>
      </c>
      <c r="C87" s="36" t="str">
        <f>IFERROR(
  IF(
    VLOOKUP($A87,祝日!$A:$C,2,FALSE)="",
    "",
    VLOOKUP($A87,祝日!$A:$C,2,FALSE)
  ),
  ""
)</f>
        <v/>
      </c>
      <c r="D87" s="36" t="str">
        <f>IFERROR(
  IF(
    VLOOKUP($A87,祝日!$A:$C,3,FALSE)="",
    "",
    VLOOKUP($A87,祝日!$A:$C,3,FALSE)
  ),
  ""
)</f>
        <v/>
      </c>
    </row>
    <row r="88" spans="1:4" ht="15.75" x14ac:dyDescent="0.25">
      <c r="A88" s="35">
        <v>43917</v>
      </c>
      <c r="B88" s="60">
        <f>IF(OR(5&lt;WEEKDAY(A88,2),0&lt;COUNTIF(祝日!A:A,A88)),0,8)</f>
        <v>8</v>
      </c>
      <c r="C88" s="36" t="str">
        <f>IFERROR(
  IF(
    VLOOKUP($A88,祝日!$A:$C,2,FALSE)="",
    "",
    VLOOKUP($A88,祝日!$A:$C,2,FALSE)
  ),
  ""
)</f>
        <v/>
      </c>
      <c r="D88" s="36" t="str">
        <f>IFERROR(
  IF(
    VLOOKUP($A88,祝日!$A:$C,3,FALSE)="",
    "",
    VLOOKUP($A88,祝日!$A:$C,3,FALSE)
  ),
  ""
)</f>
        <v/>
      </c>
    </row>
    <row r="89" spans="1:4" ht="15.75" x14ac:dyDescent="0.25">
      <c r="A89" s="35">
        <v>43918</v>
      </c>
      <c r="B89" s="60">
        <f>IF(OR(5&lt;WEEKDAY(A89,2),0&lt;COUNTIF(祝日!A:A,A89)),0,8)</f>
        <v>0</v>
      </c>
      <c r="C89" s="36" t="str">
        <f>IFERROR(
  IF(
    VLOOKUP($A89,祝日!$A:$C,2,FALSE)="",
    "",
    VLOOKUP($A89,祝日!$A:$C,2,FALSE)
  ),
  ""
)</f>
        <v/>
      </c>
      <c r="D89" s="36" t="str">
        <f>IFERROR(
  IF(
    VLOOKUP($A89,祝日!$A:$C,3,FALSE)="",
    "",
    VLOOKUP($A89,祝日!$A:$C,3,FALSE)
  ),
  ""
)</f>
        <v/>
      </c>
    </row>
    <row r="90" spans="1:4" ht="15.75" x14ac:dyDescent="0.25">
      <c r="A90" s="35">
        <v>43919</v>
      </c>
      <c r="B90" s="60">
        <f>IF(OR(5&lt;WEEKDAY(A90,2),0&lt;COUNTIF(祝日!A:A,A90)),0,8)</f>
        <v>0</v>
      </c>
      <c r="C90" s="36" t="str">
        <f>IFERROR(
  IF(
    VLOOKUP($A90,祝日!$A:$C,2,FALSE)="",
    "",
    VLOOKUP($A90,祝日!$A:$C,2,FALSE)
  ),
  ""
)</f>
        <v/>
      </c>
      <c r="D90" s="36" t="str">
        <f>IFERROR(
  IF(
    VLOOKUP($A90,祝日!$A:$C,3,FALSE)="",
    "",
    VLOOKUP($A90,祝日!$A:$C,3,FALSE)
  ),
  ""
)</f>
        <v/>
      </c>
    </row>
    <row r="91" spans="1:4" ht="15.75" x14ac:dyDescent="0.25">
      <c r="A91" s="35">
        <v>43920</v>
      </c>
      <c r="B91" s="60">
        <f>IF(OR(5&lt;WEEKDAY(A91,2),0&lt;COUNTIF(祝日!A:A,A91)),0,8)</f>
        <v>8</v>
      </c>
      <c r="C91" s="36" t="str">
        <f>IFERROR(
  IF(
    VLOOKUP($A91,祝日!$A:$C,2,FALSE)="",
    "",
    VLOOKUP($A91,祝日!$A:$C,2,FALSE)
  ),
  ""
)</f>
        <v/>
      </c>
      <c r="D91" s="36" t="str">
        <f>IFERROR(
  IF(
    VLOOKUP($A91,祝日!$A:$C,3,FALSE)="",
    "",
    VLOOKUP($A91,祝日!$A:$C,3,FALSE)
  ),
  ""
)</f>
        <v/>
      </c>
    </row>
    <row r="92" spans="1:4" ht="15.75" x14ac:dyDescent="0.25">
      <c r="A92" s="35">
        <v>43921</v>
      </c>
      <c r="B92" s="60">
        <f>IF(OR(5&lt;WEEKDAY(A92,2),0&lt;COUNTIF(祝日!A:A,A92)),0,8)</f>
        <v>8</v>
      </c>
      <c r="C92" s="36" t="str">
        <f>IFERROR(
  IF(
    VLOOKUP($A92,祝日!$A:$C,2,FALSE)="",
    "",
    VLOOKUP($A92,祝日!$A:$C,2,FALSE)
  ),
  ""
)</f>
        <v/>
      </c>
      <c r="D92" s="36" t="str">
        <f>IFERROR(
  IF(
    VLOOKUP($A92,祝日!$A:$C,3,FALSE)="",
    "",
    VLOOKUP($A92,祝日!$A:$C,3,FALSE)
  ),
  ""
)</f>
        <v/>
      </c>
    </row>
    <row r="93" spans="1:4" ht="15.75" x14ac:dyDescent="0.25">
      <c r="A93" s="35">
        <v>43922</v>
      </c>
      <c r="B93" s="60">
        <f>IF(OR(5&lt;WEEKDAY(A93,2),0&lt;COUNTIF(祝日!A:A,A93)),0,8)</f>
        <v>8</v>
      </c>
      <c r="C93" s="36" t="str">
        <f>IFERROR(
  IF(
    VLOOKUP($A93,祝日!$A:$C,2,FALSE)="",
    "",
    VLOOKUP($A93,祝日!$A:$C,2,FALSE)
  ),
  ""
)</f>
        <v/>
      </c>
      <c r="D93" s="36" t="str">
        <f>IFERROR(
  IF(
    VLOOKUP($A93,祝日!$A:$C,3,FALSE)="",
    "",
    VLOOKUP($A93,祝日!$A:$C,3,FALSE)
  ),
  ""
)</f>
        <v/>
      </c>
    </row>
    <row r="94" spans="1:4" ht="15.75" x14ac:dyDescent="0.25">
      <c r="A94" s="35">
        <v>43923</v>
      </c>
      <c r="B94" s="60">
        <f>IF(OR(5&lt;WEEKDAY(A94,2),0&lt;COUNTIF(祝日!A:A,A94)),0,8)</f>
        <v>8</v>
      </c>
      <c r="C94" s="36" t="str">
        <f>IFERROR(
  IF(
    VLOOKUP($A94,祝日!$A:$C,2,FALSE)="",
    "",
    VLOOKUP($A94,祝日!$A:$C,2,FALSE)
  ),
  ""
)</f>
        <v/>
      </c>
      <c r="D94" s="36" t="str">
        <f>IFERROR(
  IF(
    VLOOKUP($A94,祝日!$A:$C,3,FALSE)="",
    "",
    VLOOKUP($A94,祝日!$A:$C,3,FALSE)
  ),
  ""
)</f>
        <v/>
      </c>
    </row>
    <row r="95" spans="1:4" ht="15.75" x14ac:dyDescent="0.25">
      <c r="A95" s="35">
        <v>43924</v>
      </c>
      <c r="B95" s="60">
        <f>IF(OR(5&lt;WEEKDAY(A95,2),0&lt;COUNTIF(祝日!A:A,A95)),0,8)</f>
        <v>8</v>
      </c>
      <c r="C95" s="36" t="str">
        <f>IFERROR(
  IF(
    VLOOKUP($A95,祝日!$A:$C,2,FALSE)="",
    "",
    VLOOKUP($A95,祝日!$A:$C,2,FALSE)
  ),
  ""
)</f>
        <v/>
      </c>
      <c r="D95" s="36" t="str">
        <f>IFERROR(
  IF(
    VLOOKUP($A95,祝日!$A:$C,3,FALSE)="",
    "",
    VLOOKUP($A95,祝日!$A:$C,3,FALSE)
  ),
  ""
)</f>
        <v/>
      </c>
    </row>
    <row r="96" spans="1:4" ht="15.75" x14ac:dyDescent="0.25">
      <c r="A96" s="35">
        <v>43925</v>
      </c>
      <c r="B96" s="60">
        <f>IF(OR(5&lt;WEEKDAY(A96,2),0&lt;COUNTIF(祝日!A:A,A96)),0,8)</f>
        <v>0</v>
      </c>
      <c r="C96" s="36" t="str">
        <f>IFERROR(
  IF(
    VLOOKUP($A96,祝日!$A:$C,2,FALSE)="",
    "",
    VLOOKUP($A96,祝日!$A:$C,2,FALSE)
  ),
  ""
)</f>
        <v/>
      </c>
      <c r="D96" s="36" t="str">
        <f>IFERROR(
  IF(
    VLOOKUP($A96,祝日!$A:$C,3,FALSE)="",
    "",
    VLOOKUP($A96,祝日!$A:$C,3,FALSE)
  ),
  ""
)</f>
        <v/>
      </c>
    </row>
    <row r="97" spans="1:4" ht="15.75" x14ac:dyDescent="0.25">
      <c r="A97" s="35">
        <v>43926</v>
      </c>
      <c r="B97" s="60">
        <f>IF(OR(5&lt;WEEKDAY(A97,2),0&lt;COUNTIF(祝日!A:A,A97)),0,8)</f>
        <v>0</v>
      </c>
      <c r="C97" s="36" t="str">
        <f>IFERROR(
  IF(
    VLOOKUP($A97,祝日!$A:$C,2,FALSE)="",
    "",
    VLOOKUP($A97,祝日!$A:$C,2,FALSE)
  ),
  ""
)</f>
        <v/>
      </c>
      <c r="D97" s="36" t="str">
        <f>IFERROR(
  IF(
    VLOOKUP($A97,祝日!$A:$C,3,FALSE)="",
    "",
    VLOOKUP($A97,祝日!$A:$C,3,FALSE)
  ),
  ""
)</f>
        <v/>
      </c>
    </row>
    <row r="98" spans="1:4" ht="15.75" x14ac:dyDescent="0.25">
      <c r="A98" s="35">
        <v>43927</v>
      </c>
      <c r="B98" s="60">
        <f>IF(OR(5&lt;WEEKDAY(A98,2),0&lt;COUNTIF(祝日!A:A,A98)),0,8)</f>
        <v>8</v>
      </c>
      <c r="C98" s="36" t="str">
        <f>IFERROR(
  IF(
    VLOOKUP($A98,祝日!$A:$C,2,FALSE)="",
    "",
    VLOOKUP($A98,祝日!$A:$C,2,FALSE)
  ),
  ""
)</f>
        <v/>
      </c>
      <c r="D98" s="36" t="str">
        <f>IFERROR(
  IF(
    VLOOKUP($A98,祝日!$A:$C,3,FALSE)="",
    "",
    VLOOKUP($A98,祝日!$A:$C,3,FALSE)
  ),
  ""
)</f>
        <v/>
      </c>
    </row>
    <row r="99" spans="1:4" ht="15.75" x14ac:dyDescent="0.25">
      <c r="A99" s="35">
        <v>43928</v>
      </c>
      <c r="B99" s="60">
        <f>IF(OR(5&lt;WEEKDAY(A99,2),0&lt;COUNTIF(祝日!A:A,A99)),0,8)</f>
        <v>8</v>
      </c>
      <c r="C99" s="36" t="str">
        <f>IFERROR(
  IF(
    VLOOKUP($A99,祝日!$A:$C,2,FALSE)="",
    "",
    VLOOKUP($A99,祝日!$A:$C,2,FALSE)
  ),
  ""
)</f>
        <v/>
      </c>
      <c r="D99" s="36" t="str">
        <f>IFERROR(
  IF(
    VLOOKUP($A99,祝日!$A:$C,3,FALSE)="",
    "",
    VLOOKUP($A99,祝日!$A:$C,3,FALSE)
  ),
  ""
)</f>
        <v/>
      </c>
    </row>
    <row r="100" spans="1:4" ht="15.75" x14ac:dyDescent="0.25">
      <c r="A100" s="35">
        <v>43929</v>
      </c>
      <c r="B100" s="60">
        <f>IF(OR(5&lt;WEEKDAY(A100,2),0&lt;COUNTIF(祝日!A:A,A100)),0,8)</f>
        <v>8</v>
      </c>
      <c r="C100" s="36" t="str">
        <f>IFERROR(
  IF(
    VLOOKUP($A100,祝日!$A:$C,2,FALSE)="",
    "",
    VLOOKUP($A100,祝日!$A:$C,2,FALSE)
  ),
  ""
)</f>
        <v/>
      </c>
      <c r="D100" s="36" t="str">
        <f>IFERROR(
  IF(
    VLOOKUP($A100,祝日!$A:$C,3,FALSE)="",
    "",
    VLOOKUP($A100,祝日!$A:$C,3,FALSE)
  ),
  ""
)</f>
        <v/>
      </c>
    </row>
    <row r="101" spans="1:4" ht="15.75" x14ac:dyDescent="0.25">
      <c r="A101" s="35">
        <v>43930</v>
      </c>
      <c r="B101" s="60">
        <f>IF(OR(5&lt;WEEKDAY(A101,2),0&lt;COUNTIF(祝日!A:A,A101)),0,8)</f>
        <v>8</v>
      </c>
      <c r="C101" s="36" t="str">
        <f>IFERROR(
  IF(
    VLOOKUP($A101,祝日!$A:$C,2,FALSE)="",
    "",
    VLOOKUP($A101,祝日!$A:$C,2,FALSE)
  ),
  ""
)</f>
        <v/>
      </c>
      <c r="D101" s="36" t="str">
        <f>IFERROR(
  IF(
    VLOOKUP($A101,祝日!$A:$C,3,FALSE)="",
    "",
    VLOOKUP($A101,祝日!$A:$C,3,FALSE)
  ),
  ""
)</f>
        <v/>
      </c>
    </row>
    <row r="102" spans="1:4" ht="15.75" x14ac:dyDescent="0.25">
      <c r="A102" s="35">
        <v>43931</v>
      </c>
      <c r="B102" s="60">
        <f>IF(OR(5&lt;WEEKDAY(A102,2),0&lt;COUNTIF(祝日!A:A,A102)),0,8)</f>
        <v>8</v>
      </c>
      <c r="C102" s="36" t="str">
        <f>IFERROR(
  IF(
    VLOOKUP($A102,祝日!$A:$C,2,FALSE)="",
    "",
    VLOOKUP($A102,祝日!$A:$C,2,FALSE)
  ),
  ""
)</f>
        <v/>
      </c>
      <c r="D102" s="36" t="str">
        <f>IFERROR(
  IF(
    VLOOKUP($A102,祝日!$A:$C,3,FALSE)="",
    "",
    VLOOKUP($A102,祝日!$A:$C,3,FALSE)
  ),
  ""
)</f>
        <v/>
      </c>
    </row>
    <row r="103" spans="1:4" ht="15.75" x14ac:dyDescent="0.25">
      <c r="A103" s="35">
        <v>43932</v>
      </c>
      <c r="B103" s="60">
        <f>IF(OR(5&lt;WEEKDAY(A103,2),0&lt;COUNTIF(祝日!A:A,A103)),0,8)</f>
        <v>0</v>
      </c>
      <c r="C103" s="36" t="str">
        <f>IFERROR(
  IF(
    VLOOKUP($A103,祝日!$A:$C,2,FALSE)="",
    "",
    VLOOKUP($A103,祝日!$A:$C,2,FALSE)
  ),
  ""
)</f>
        <v/>
      </c>
      <c r="D103" s="36" t="str">
        <f>IFERROR(
  IF(
    VLOOKUP($A103,祝日!$A:$C,3,FALSE)="",
    "",
    VLOOKUP($A103,祝日!$A:$C,3,FALSE)
  ),
  ""
)</f>
        <v/>
      </c>
    </row>
    <row r="104" spans="1:4" ht="15.75" x14ac:dyDescent="0.25">
      <c r="A104" s="35">
        <v>43933</v>
      </c>
      <c r="B104" s="60">
        <f>IF(OR(5&lt;WEEKDAY(A104,2),0&lt;COUNTIF(祝日!A:A,A104)),0,8)</f>
        <v>0</v>
      </c>
      <c r="C104" s="36" t="str">
        <f>IFERROR(
  IF(
    VLOOKUP($A104,祝日!$A:$C,2,FALSE)="",
    "",
    VLOOKUP($A104,祝日!$A:$C,2,FALSE)
  ),
  ""
)</f>
        <v/>
      </c>
      <c r="D104" s="36" t="str">
        <f>IFERROR(
  IF(
    VLOOKUP($A104,祝日!$A:$C,3,FALSE)="",
    "",
    VLOOKUP($A104,祝日!$A:$C,3,FALSE)
  ),
  ""
)</f>
        <v/>
      </c>
    </row>
    <row r="105" spans="1:4" ht="15.75" x14ac:dyDescent="0.25">
      <c r="A105" s="35">
        <v>43934</v>
      </c>
      <c r="B105" s="60">
        <f>IF(OR(5&lt;WEEKDAY(A105,2),0&lt;COUNTIF(祝日!A:A,A105)),0,8)</f>
        <v>8</v>
      </c>
      <c r="C105" s="36" t="str">
        <f>IFERROR(
  IF(
    VLOOKUP($A105,祝日!$A:$C,2,FALSE)="",
    "",
    VLOOKUP($A105,祝日!$A:$C,2,FALSE)
  ),
  ""
)</f>
        <v/>
      </c>
      <c r="D105" s="36" t="str">
        <f>IFERROR(
  IF(
    VLOOKUP($A105,祝日!$A:$C,3,FALSE)="",
    "",
    VLOOKUP($A105,祝日!$A:$C,3,FALSE)
  ),
  ""
)</f>
        <v/>
      </c>
    </row>
    <row r="106" spans="1:4" ht="15.75" x14ac:dyDescent="0.25">
      <c r="A106" s="35">
        <v>43935</v>
      </c>
      <c r="B106" s="60">
        <f>IF(OR(5&lt;WEEKDAY(A106,2),0&lt;COUNTIF(祝日!A:A,A106)),0,8)</f>
        <v>8</v>
      </c>
      <c r="C106" s="36" t="str">
        <f>IFERROR(
  IF(
    VLOOKUP($A106,祝日!$A:$C,2,FALSE)="",
    "",
    VLOOKUP($A106,祝日!$A:$C,2,FALSE)
  ),
  ""
)</f>
        <v/>
      </c>
      <c r="D106" s="36" t="str">
        <f>IFERROR(
  IF(
    VLOOKUP($A106,祝日!$A:$C,3,FALSE)="",
    "",
    VLOOKUP($A106,祝日!$A:$C,3,FALSE)
  ),
  ""
)</f>
        <v/>
      </c>
    </row>
    <row r="107" spans="1:4" ht="15.75" x14ac:dyDescent="0.25">
      <c r="A107" s="35">
        <v>43936</v>
      </c>
      <c r="B107" s="60">
        <f>IF(OR(5&lt;WEEKDAY(A107,2),0&lt;COUNTIF(祝日!A:A,A107)),0,8)</f>
        <v>8</v>
      </c>
      <c r="C107" s="36" t="str">
        <f>IFERROR(
  IF(
    VLOOKUP($A107,祝日!$A:$C,2,FALSE)="",
    "",
    VLOOKUP($A107,祝日!$A:$C,2,FALSE)
  ),
  ""
)</f>
        <v/>
      </c>
      <c r="D107" s="36" t="str">
        <f>IFERROR(
  IF(
    VLOOKUP($A107,祝日!$A:$C,3,FALSE)="",
    "",
    VLOOKUP($A107,祝日!$A:$C,3,FALSE)
  ),
  ""
)</f>
        <v/>
      </c>
    </row>
    <row r="108" spans="1:4" ht="15.75" x14ac:dyDescent="0.25">
      <c r="A108" s="35">
        <v>43937</v>
      </c>
      <c r="B108" s="60">
        <f>IF(OR(5&lt;WEEKDAY(A108,2),0&lt;COUNTIF(祝日!A:A,A108)),0,8)</f>
        <v>8</v>
      </c>
      <c r="C108" s="36" t="str">
        <f>IFERROR(
  IF(
    VLOOKUP($A108,祝日!$A:$C,2,FALSE)="",
    "",
    VLOOKUP($A108,祝日!$A:$C,2,FALSE)
  ),
  ""
)</f>
        <v/>
      </c>
      <c r="D108" s="36" t="str">
        <f>IFERROR(
  IF(
    VLOOKUP($A108,祝日!$A:$C,3,FALSE)="",
    "",
    VLOOKUP($A108,祝日!$A:$C,3,FALSE)
  ),
  ""
)</f>
        <v/>
      </c>
    </row>
    <row r="109" spans="1:4" ht="15.75" x14ac:dyDescent="0.25">
      <c r="A109" s="35">
        <v>43938</v>
      </c>
      <c r="B109" s="60">
        <f>IF(OR(5&lt;WEEKDAY(A109,2),0&lt;COUNTIF(祝日!A:A,A109)),0,8)</f>
        <v>8</v>
      </c>
      <c r="C109" s="36" t="str">
        <f>IFERROR(
  IF(
    VLOOKUP($A109,祝日!$A:$C,2,FALSE)="",
    "",
    VLOOKUP($A109,祝日!$A:$C,2,FALSE)
  ),
  ""
)</f>
        <v/>
      </c>
      <c r="D109" s="36" t="str">
        <f>IFERROR(
  IF(
    VLOOKUP($A109,祝日!$A:$C,3,FALSE)="",
    "",
    VLOOKUP($A109,祝日!$A:$C,3,FALSE)
  ),
  ""
)</f>
        <v/>
      </c>
    </row>
    <row r="110" spans="1:4" ht="15.75" x14ac:dyDescent="0.25">
      <c r="A110" s="35">
        <v>43939</v>
      </c>
      <c r="B110" s="60">
        <f>IF(OR(5&lt;WEEKDAY(A110,2),0&lt;COUNTIF(祝日!A:A,A110)),0,8)</f>
        <v>0</v>
      </c>
      <c r="C110" s="36" t="str">
        <f>IFERROR(
  IF(
    VLOOKUP($A110,祝日!$A:$C,2,FALSE)="",
    "",
    VLOOKUP($A110,祝日!$A:$C,2,FALSE)
  ),
  ""
)</f>
        <v/>
      </c>
      <c r="D110" s="36" t="str">
        <f>IFERROR(
  IF(
    VLOOKUP($A110,祝日!$A:$C,3,FALSE)="",
    "",
    VLOOKUP($A110,祝日!$A:$C,3,FALSE)
  ),
  ""
)</f>
        <v/>
      </c>
    </row>
    <row r="111" spans="1:4" ht="15.75" x14ac:dyDescent="0.25">
      <c r="A111" s="35">
        <v>43940</v>
      </c>
      <c r="B111" s="60">
        <f>IF(OR(5&lt;WEEKDAY(A111,2),0&lt;COUNTIF(祝日!A:A,A111)),0,8)</f>
        <v>0</v>
      </c>
      <c r="C111" s="36" t="str">
        <f>IFERROR(
  IF(
    VLOOKUP($A111,祝日!$A:$C,2,FALSE)="",
    "",
    VLOOKUP($A111,祝日!$A:$C,2,FALSE)
  ),
  ""
)</f>
        <v/>
      </c>
      <c r="D111" s="36" t="str">
        <f>IFERROR(
  IF(
    VLOOKUP($A111,祝日!$A:$C,3,FALSE)="",
    "",
    VLOOKUP($A111,祝日!$A:$C,3,FALSE)
  ),
  ""
)</f>
        <v/>
      </c>
    </row>
    <row r="112" spans="1:4" ht="15.75" x14ac:dyDescent="0.25">
      <c r="A112" s="35">
        <v>43941</v>
      </c>
      <c r="B112" s="60">
        <f>IF(OR(5&lt;WEEKDAY(A112,2),0&lt;COUNTIF(祝日!A:A,A112)),0,8)</f>
        <v>8</v>
      </c>
      <c r="C112" s="36" t="str">
        <f>IFERROR(
  IF(
    VLOOKUP($A112,祝日!$A:$C,2,FALSE)="",
    "",
    VLOOKUP($A112,祝日!$A:$C,2,FALSE)
  ),
  ""
)</f>
        <v/>
      </c>
      <c r="D112" s="36" t="str">
        <f>IFERROR(
  IF(
    VLOOKUP($A112,祝日!$A:$C,3,FALSE)="",
    "",
    VLOOKUP($A112,祝日!$A:$C,3,FALSE)
  ),
  ""
)</f>
        <v/>
      </c>
    </row>
    <row r="113" spans="1:4" ht="15.75" x14ac:dyDescent="0.25">
      <c r="A113" s="35">
        <v>43942</v>
      </c>
      <c r="B113" s="60">
        <f>IF(OR(5&lt;WEEKDAY(A113,2),0&lt;COUNTIF(祝日!A:A,A113)),0,8)</f>
        <v>8</v>
      </c>
      <c r="C113" s="36" t="str">
        <f>IFERROR(
  IF(
    VLOOKUP($A113,祝日!$A:$C,2,FALSE)="",
    "",
    VLOOKUP($A113,祝日!$A:$C,2,FALSE)
  ),
  ""
)</f>
        <v/>
      </c>
      <c r="D113" s="36" t="str">
        <f>IFERROR(
  IF(
    VLOOKUP($A113,祝日!$A:$C,3,FALSE)="",
    "",
    VLOOKUP($A113,祝日!$A:$C,3,FALSE)
  ),
  ""
)</f>
        <v/>
      </c>
    </row>
    <row r="114" spans="1:4" ht="15.75" x14ac:dyDescent="0.25">
      <c r="A114" s="35">
        <v>43943</v>
      </c>
      <c r="B114" s="60">
        <f>IF(OR(5&lt;WEEKDAY(A114,2),0&lt;COUNTIF(祝日!A:A,A114)),0,8)</f>
        <v>8</v>
      </c>
      <c r="C114" s="36" t="str">
        <f>IFERROR(
  IF(
    VLOOKUP($A114,祝日!$A:$C,2,FALSE)="",
    "",
    VLOOKUP($A114,祝日!$A:$C,2,FALSE)
  ),
  ""
)</f>
        <v/>
      </c>
      <c r="D114" s="36" t="str">
        <f>IFERROR(
  IF(
    VLOOKUP($A114,祝日!$A:$C,3,FALSE)="",
    "",
    VLOOKUP($A114,祝日!$A:$C,3,FALSE)
  ),
  ""
)</f>
        <v/>
      </c>
    </row>
    <row r="115" spans="1:4" ht="15.75" x14ac:dyDescent="0.25">
      <c r="A115" s="35">
        <v>43944</v>
      </c>
      <c r="B115" s="60">
        <f>IF(OR(5&lt;WEEKDAY(A115,2),0&lt;COUNTIF(祝日!A:A,A115)),0,8)</f>
        <v>8</v>
      </c>
      <c r="C115" s="36" t="str">
        <f>IFERROR(
  IF(
    VLOOKUP($A115,祝日!$A:$C,2,FALSE)="",
    "",
    VLOOKUP($A115,祝日!$A:$C,2,FALSE)
  ),
  ""
)</f>
        <v/>
      </c>
      <c r="D115" s="36" t="str">
        <f>IFERROR(
  IF(
    VLOOKUP($A115,祝日!$A:$C,3,FALSE)="",
    "",
    VLOOKUP($A115,祝日!$A:$C,3,FALSE)
  ),
  ""
)</f>
        <v/>
      </c>
    </row>
    <row r="116" spans="1:4" ht="15.75" x14ac:dyDescent="0.25">
      <c r="A116" s="35">
        <v>43945</v>
      </c>
      <c r="B116" s="60">
        <f>IF(OR(5&lt;WEEKDAY(A116,2),0&lt;COUNTIF(祝日!A:A,A116)),0,8)</f>
        <v>8</v>
      </c>
      <c r="C116" s="36" t="str">
        <f>IFERROR(
  IF(
    VLOOKUP($A116,祝日!$A:$C,2,FALSE)="",
    "",
    VLOOKUP($A116,祝日!$A:$C,2,FALSE)
  ),
  ""
)</f>
        <v/>
      </c>
      <c r="D116" s="36" t="str">
        <f>IFERROR(
  IF(
    VLOOKUP($A116,祝日!$A:$C,3,FALSE)="",
    "",
    VLOOKUP($A116,祝日!$A:$C,3,FALSE)
  ),
  ""
)</f>
        <v/>
      </c>
    </row>
    <row r="117" spans="1:4" ht="15.75" x14ac:dyDescent="0.25">
      <c r="A117" s="35">
        <v>43946</v>
      </c>
      <c r="B117" s="60">
        <f>IF(OR(5&lt;WEEKDAY(A117,2),0&lt;COUNTIF(祝日!A:A,A117)),0,8)</f>
        <v>0</v>
      </c>
      <c r="C117" s="36" t="str">
        <f>IFERROR(
  IF(
    VLOOKUP($A117,祝日!$A:$C,2,FALSE)="",
    "",
    VLOOKUP($A117,祝日!$A:$C,2,FALSE)
  ),
  ""
)</f>
        <v/>
      </c>
      <c r="D117" s="36" t="str">
        <f>IFERROR(
  IF(
    VLOOKUP($A117,祝日!$A:$C,3,FALSE)="",
    "",
    VLOOKUP($A117,祝日!$A:$C,3,FALSE)
  ),
  ""
)</f>
        <v/>
      </c>
    </row>
    <row r="118" spans="1:4" ht="15.75" x14ac:dyDescent="0.25">
      <c r="A118" s="35">
        <v>43947</v>
      </c>
      <c r="B118" s="60">
        <f>IF(OR(5&lt;WEEKDAY(A118,2),0&lt;COUNTIF(祝日!A:A,A118)),0,8)</f>
        <v>0</v>
      </c>
      <c r="C118" s="36" t="str">
        <f>IFERROR(
  IF(
    VLOOKUP($A118,祝日!$A:$C,2,FALSE)="",
    "",
    VLOOKUP($A118,祝日!$A:$C,2,FALSE)
  ),
  ""
)</f>
        <v/>
      </c>
      <c r="D118" s="36" t="str">
        <f>IFERROR(
  IF(
    VLOOKUP($A118,祝日!$A:$C,3,FALSE)="",
    "",
    VLOOKUP($A118,祝日!$A:$C,3,FALSE)
  ),
  ""
)</f>
        <v/>
      </c>
    </row>
    <row r="119" spans="1:4" ht="15.75" x14ac:dyDescent="0.25">
      <c r="A119" s="35">
        <v>43948</v>
      </c>
      <c r="B119" s="60">
        <f>IF(OR(5&lt;WEEKDAY(A119,2),0&lt;COUNTIF(祝日!A:A,A119)),0,8)</f>
        <v>8</v>
      </c>
      <c r="C119" s="36" t="str">
        <f>IFERROR(
  IF(
    VLOOKUP($A119,祝日!$A:$C,2,FALSE)="",
    "",
    VLOOKUP($A119,祝日!$A:$C,2,FALSE)
  ),
  ""
)</f>
        <v/>
      </c>
      <c r="D119" s="36" t="str">
        <f>IFERROR(
  IF(
    VLOOKUP($A119,祝日!$A:$C,3,FALSE)="",
    "",
    VLOOKUP($A119,祝日!$A:$C,3,FALSE)
  ),
  ""
)</f>
        <v/>
      </c>
    </row>
    <row r="120" spans="1:4" ht="15.75" x14ac:dyDescent="0.25">
      <c r="A120" s="35">
        <v>43949</v>
      </c>
      <c r="B120" s="60">
        <f>IF(OR(5&lt;WEEKDAY(A120,2),0&lt;COUNTIF(祝日!A:A,A120)),0,8)</f>
        <v>8</v>
      </c>
      <c r="C120" s="36" t="str">
        <f>IFERROR(
  IF(
    VLOOKUP($A120,祝日!$A:$C,2,FALSE)="",
    "",
    VLOOKUP($A120,祝日!$A:$C,2,FALSE)
  ),
  ""
)</f>
        <v/>
      </c>
      <c r="D120" s="36" t="str">
        <f>IFERROR(
  IF(
    VLOOKUP($A120,祝日!$A:$C,3,FALSE)="",
    "",
    VLOOKUP($A120,祝日!$A:$C,3,FALSE)
  ),
  ""
)</f>
        <v/>
      </c>
    </row>
    <row r="121" spans="1:4" ht="15.75" x14ac:dyDescent="0.25">
      <c r="A121" s="35">
        <v>43950</v>
      </c>
      <c r="B121" s="60">
        <f>IF(OR(5&lt;WEEKDAY(A121,2),0&lt;COUNTIF(祝日!A:A,A121)),0,8)</f>
        <v>0</v>
      </c>
      <c r="C121" s="36" t="str">
        <f>IFERROR(
  IF(
    VLOOKUP($A121,祝日!$A:$C,2,FALSE)="",
    "",
    VLOOKUP($A121,祝日!$A:$C,2,FALSE)
  ),
  ""
)</f>
        <v xml:space="preserve">昭和の日 </v>
      </c>
      <c r="D121" s="36" t="str">
        <f>IFERROR(
  IF(
    VLOOKUP($A121,祝日!$A:$C,3,FALSE)="",
    "",
    VLOOKUP($A121,祝日!$A:$C,3,FALSE)
  ),
  ""
)</f>
        <v/>
      </c>
    </row>
    <row r="122" spans="1:4" ht="15.75" x14ac:dyDescent="0.25">
      <c r="A122" s="35">
        <v>43951</v>
      </c>
      <c r="B122" s="60">
        <f>IF(OR(5&lt;WEEKDAY(A122,2),0&lt;COUNTIF(祝日!A:A,A122)),0,8)</f>
        <v>8</v>
      </c>
      <c r="C122" s="36" t="str">
        <f>IFERROR(
  IF(
    VLOOKUP($A122,祝日!$A:$C,2,FALSE)="",
    "",
    VLOOKUP($A122,祝日!$A:$C,2,FALSE)
  ),
  ""
)</f>
        <v/>
      </c>
      <c r="D122" s="36" t="str">
        <f>IFERROR(
  IF(
    VLOOKUP($A122,祝日!$A:$C,3,FALSE)="",
    "",
    VLOOKUP($A122,祝日!$A:$C,3,FALSE)
  ),
  ""
)</f>
        <v/>
      </c>
    </row>
    <row r="123" spans="1:4" ht="15.75" x14ac:dyDescent="0.25">
      <c r="A123" s="35">
        <v>43952</v>
      </c>
      <c r="B123" s="60">
        <f>IF(OR(5&lt;WEEKDAY(A123,2),0&lt;COUNTIF(祝日!A:A,A123)),0,8)</f>
        <v>8</v>
      </c>
      <c r="C123" s="36" t="str">
        <f>IFERROR(
  IF(
    VLOOKUP($A123,祝日!$A:$C,2,FALSE)="",
    "",
    VLOOKUP($A123,祝日!$A:$C,2,FALSE)
  ),
  ""
)</f>
        <v/>
      </c>
      <c r="D123" s="36" t="str">
        <f>IFERROR(
  IF(
    VLOOKUP($A123,祝日!$A:$C,3,FALSE)="",
    "",
    VLOOKUP($A123,祝日!$A:$C,3,FALSE)
  ),
  ""
)</f>
        <v/>
      </c>
    </row>
    <row r="124" spans="1:4" ht="15.75" x14ac:dyDescent="0.25">
      <c r="A124" s="35">
        <v>43953</v>
      </c>
      <c r="B124" s="60">
        <f>IF(OR(5&lt;WEEKDAY(A124,2),0&lt;COUNTIF(祝日!A:A,A124)),0,8)</f>
        <v>0</v>
      </c>
      <c r="C124" s="36" t="str">
        <f>IFERROR(
  IF(
    VLOOKUP($A124,祝日!$A:$C,2,FALSE)="",
    "",
    VLOOKUP($A124,祝日!$A:$C,2,FALSE)
  ),
  ""
)</f>
        <v/>
      </c>
      <c r="D124" s="36" t="str">
        <f>IFERROR(
  IF(
    VLOOKUP($A124,祝日!$A:$C,3,FALSE)="",
    "",
    VLOOKUP($A124,祝日!$A:$C,3,FALSE)
  ),
  ""
)</f>
        <v/>
      </c>
    </row>
    <row r="125" spans="1:4" ht="15.75" x14ac:dyDescent="0.25">
      <c r="A125" s="35">
        <v>43954</v>
      </c>
      <c r="B125" s="60">
        <f>IF(OR(5&lt;WEEKDAY(A125,2),0&lt;COUNTIF(祝日!A:A,A125)),0,8)</f>
        <v>0</v>
      </c>
      <c r="C125" s="36" t="str">
        <f>IFERROR(
  IF(
    VLOOKUP($A125,祝日!$A:$C,2,FALSE)="",
    "",
    VLOOKUP($A125,祝日!$A:$C,2,FALSE)
  ),
  ""
)</f>
        <v xml:space="preserve">憲法記念日 </v>
      </c>
      <c r="D125" s="36" t="str">
        <f>IFERROR(
  IF(
    VLOOKUP($A125,祝日!$A:$C,3,FALSE)="",
    "",
    VLOOKUP($A125,祝日!$A:$C,3,FALSE)
  ),
  ""
)</f>
        <v/>
      </c>
    </row>
    <row r="126" spans="1:4" ht="15.75" x14ac:dyDescent="0.25">
      <c r="A126" s="35">
        <v>43955</v>
      </c>
      <c r="B126" s="60">
        <f>IF(OR(5&lt;WEEKDAY(A126,2),0&lt;COUNTIF(祝日!A:A,A126)),0,8)</f>
        <v>0</v>
      </c>
      <c r="C126" s="36" t="str">
        <f>IFERROR(
  IF(
    VLOOKUP($A126,祝日!$A:$C,2,FALSE)="",
    "",
    VLOOKUP($A126,祝日!$A:$C,2,FALSE)
  ),
  ""
)</f>
        <v xml:space="preserve">みどりの日 </v>
      </c>
      <c r="D126" s="36" t="str">
        <f>IFERROR(
  IF(
    VLOOKUP($A126,祝日!$A:$C,3,FALSE)="",
    "",
    VLOOKUP($A126,祝日!$A:$C,3,FALSE)
  ),
  ""
)</f>
        <v/>
      </c>
    </row>
    <row r="127" spans="1:4" ht="15.75" x14ac:dyDescent="0.25">
      <c r="A127" s="35">
        <v>43956</v>
      </c>
      <c r="B127" s="60">
        <f>IF(OR(5&lt;WEEKDAY(A127,2),0&lt;COUNTIF(祝日!A:A,A127)),0,8)</f>
        <v>0</v>
      </c>
      <c r="C127" s="36" t="str">
        <f>IFERROR(
  IF(
    VLOOKUP($A127,祝日!$A:$C,2,FALSE)="",
    "",
    VLOOKUP($A127,祝日!$A:$C,2,FALSE)
  ),
  ""
)</f>
        <v xml:space="preserve">こどもの日 </v>
      </c>
      <c r="D127" s="36" t="str">
        <f>IFERROR(
  IF(
    VLOOKUP($A127,祝日!$A:$C,3,FALSE)="",
    "",
    VLOOKUP($A127,祝日!$A:$C,3,FALSE)
  ),
  ""
)</f>
        <v/>
      </c>
    </row>
    <row r="128" spans="1:4" ht="15.75" x14ac:dyDescent="0.25">
      <c r="A128" s="35">
        <v>43957</v>
      </c>
      <c r="B128" s="60">
        <f>IF(OR(5&lt;WEEKDAY(A128,2),0&lt;COUNTIF(祝日!A:A,A128)),0,8)</f>
        <v>0</v>
      </c>
      <c r="C128" s="36" t="str">
        <f>IFERROR(
  IF(
    VLOOKUP($A128,祝日!$A:$C,2,FALSE)="",
    "",
    VLOOKUP($A128,祝日!$A:$C,2,FALSE)
  ),
  ""
)</f>
        <v xml:space="preserve">休日 </v>
      </c>
      <c r="D128" s="36" t="str">
        <f>IFERROR(
  IF(
    VLOOKUP($A128,祝日!$A:$C,3,FALSE)="",
    "",
    VLOOKUP($A128,祝日!$A:$C,3,FALSE)
  ),
  ""
)</f>
        <v>憲法記念日の振り替え休日</v>
      </c>
    </row>
    <row r="129" spans="1:4" ht="15.75" x14ac:dyDescent="0.25">
      <c r="A129" s="35">
        <v>43958</v>
      </c>
      <c r="B129" s="60">
        <f>IF(OR(5&lt;WEEKDAY(A129,2),0&lt;COUNTIF(祝日!A:A,A129)),0,8)</f>
        <v>8</v>
      </c>
      <c r="C129" s="36" t="str">
        <f>IFERROR(
  IF(
    VLOOKUP($A129,祝日!$A:$C,2,FALSE)="",
    "",
    VLOOKUP($A129,祝日!$A:$C,2,FALSE)
  ),
  ""
)</f>
        <v/>
      </c>
      <c r="D129" s="36" t="str">
        <f>IFERROR(
  IF(
    VLOOKUP($A129,祝日!$A:$C,3,FALSE)="",
    "",
    VLOOKUP($A129,祝日!$A:$C,3,FALSE)
  ),
  ""
)</f>
        <v/>
      </c>
    </row>
    <row r="130" spans="1:4" ht="15.75" x14ac:dyDescent="0.25">
      <c r="A130" s="35">
        <v>43959</v>
      </c>
      <c r="B130" s="60">
        <f>IF(OR(5&lt;WEEKDAY(A130,2),0&lt;COUNTIF(祝日!A:A,A130)),0,8)</f>
        <v>8</v>
      </c>
      <c r="C130" s="36" t="str">
        <f>IFERROR(
  IF(
    VLOOKUP($A130,祝日!$A:$C,2,FALSE)="",
    "",
    VLOOKUP($A130,祝日!$A:$C,2,FALSE)
  ),
  ""
)</f>
        <v/>
      </c>
      <c r="D130" s="36" t="str">
        <f>IFERROR(
  IF(
    VLOOKUP($A130,祝日!$A:$C,3,FALSE)="",
    "",
    VLOOKUP($A130,祝日!$A:$C,3,FALSE)
  ),
  ""
)</f>
        <v/>
      </c>
    </row>
    <row r="131" spans="1:4" ht="15.75" x14ac:dyDescent="0.25">
      <c r="A131" s="35">
        <v>43960</v>
      </c>
      <c r="B131" s="60">
        <f>IF(OR(5&lt;WEEKDAY(A131,2),0&lt;COUNTIF(祝日!A:A,A131)),0,8)</f>
        <v>0</v>
      </c>
      <c r="C131" s="36" t="str">
        <f>IFERROR(
  IF(
    VLOOKUP($A131,祝日!$A:$C,2,FALSE)="",
    "",
    VLOOKUP($A131,祝日!$A:$C,2,FALSE)
  ),
  ""
)</f>
        <v/>
      </c>
      <c r="D131" s="36" t="str">
        <f>IFERROR(
  IF(
    VLOOKUP($A131,祝日!$A:$C,3,FALSE)="",
    "",
    VLOOKUP($A131,祝日!$A:$C,3,FALSE)
  ),
  ""
)</f>
        <v/>
      </c>
    </row>
    <row r="132" spans="1:4" ht="15.75" x14ac:dyDescent="0.25">
      <c r="A132" s="35">
        <v>43961</v>
      </c>
      <c r="B132" s="60">
        <f>IF(OR(5&lt;WEEKDAY(A132,2),0&lt;COUNTIF(祝日!A:A,A132)),0,8)</f>
        <v>0</v>
      </c>
      <c r="C132" s="36" t="str">
        <f>IFERROR(
  IF(
    VLOOKUP($A132,祝日!$A:$C,2,FALSE)="",
    "",
    VLOOKUP($A132,祝日!$A:$C,2,FALSE)
  ),
  ""
)</f>
        <v/>
      </c>
      <c r="D132" s="36" t="str">
        <f>IFERROR(
  IF(
    VLOOKUP($A132,祝日!$A:$C,3,FALSE)="",
    "",
    VLOOKUP($A132,祝日!$A:$C,3,FALSE)
  ),
  ""
)</f>
        <v/>
      </c>
    </row>
    <row r="133" spans="1:4" ht="15.75" x14ac:dyDescent="0.25">
      <c r="A133" s="35">
        <v>43962</v>
      </c>
      <c r="B133" s="60">
        <f>IF(OR(5&lt;WEEKDAY(A133,2),0&lt;COUNTIF(祝日!A:A,A133)),0,8)</f>
        <v>8</v>
      </c>
      <c r="C133" s="36" t="str">
        <f>IFERROR(
  IF(
    VLOOKUP($A133,祝日!$A:$C,2,FALSE)="",
    "",
    VLOOKUP($A133,祝日!$A:$C,2,FALSE)
  ),
  ""
)</f>
        <v/>
      </c>
      <c r="D133" s="36" t="str">
        <f>IFERROR(
  IF(
    VLOOKUP($A133,祝日!$A:$C,3,FALSE)="",
    "",
    VLOOKUP($A133,祝日!$A:$C,3,FALSE)
  ),
  ""
)</f>
        <v/>
      </c>
    </row>
    <row r="134" spans="1:4" ht="15.75" x14ac:dyDescent="0.25">
      <c r="A134" s="35">
        <v>43963</v>
      </c>
      <c r="B134" s="60">
        <f>IF(OR(5&lt;WEEKDAY(A134,2),0&lt;COUNTIF(祝日!A:A,A134)),0,8)</f>
        <v>8</v>
      </c>
      <c r="C134" s="36" t="str">
        <f>IFERROR(
  IF(
    VLOOKUP($A134,祝日!$A:$C,2,FALSE)="",
    "",
    VLOOKUP($A134,祝日!$A:$C,2,FALSE)
  ),
  ""
)</f>
        <v/>
      </c>
      <c r="D134" s="36" t="str">
        <f>IFERROR(
  IF(
    VLOOKUP($A134,祝日!$A:$C,3,FALSE)="",
    "",
    VLOOKUP($A134,祝日!$A:$C,3,FALSE)
  ),
  ""
)</f>
        <v/>
      </c>
    </row>
    <row r="135" spans="1:4" ht="15.75" x14ac:dyDescent="0.25">
      <c r="A135" s="35">
        <v>43964</v>
      </c>
      <c r="B135" s="60">
        <f>IF(OR(5&lt;WEEKDAY(A135,2),0&lt;COUNTIF(祝日!A:A,A135)),0,8)</f>
        <v>8</v>
      </c>
      <c r="C135" s="36" t="str">
        <f>IFERROR(
  IF(
    VLOOKUP($A135,祝日!$A:$C,2,FALSE)="",
    "",
    VLOOKUP($A135,祝日!$A:$C,2,FALSE)
  ),
  ""
)</f>
        <v/>
      </c>
      <c r="D135" s="36" t="str">
        <f>IFERROR(
  IF(
    VLOOKUP($A135,祝日!$A:$C,3,FALSE)="",
    "",
    VLOOKUP($A135,祝日!$A:$C,3,FALSE)
  ),
  ""
)</f>
        <v/>
      </c>
    </row>
    <row r="136" spans="1:4" ht="15.75" x14ac:dyDescent="0.25">
      <c r="A136" s="35">
        <v>43965</v>
      </c>
      <c r="B136" s="60">
        <f>IF(OR(5&lt;WEEKDAY(A136,2),0&lt;COUNTIF(祝日!A:A,A136)),0,8)</f>
        <v>8</v>
      </c>
      <c r="C136" s="36" t="str">
        <f>IFERROR(
  IF(
    VLOOKUP($A136,祝日!$A:$C,2,FALSE)="",
    "",
    VLOOKUP($A136,祝日!$A:$C,2,FALSE)
  ),
  ""
)</f>
        <v/>
      </c>
      <c r="D136" s="36" t="str">
        <f>IFERROR(
  IF(
    VLOOKUP($A136,祝日!$A:$C,3,FALSE)="",
    "",
    VLOOKUP($A136,祝日!$A:$C,3,FALSE)
  ),
  ""
)</f>
        <v/>
      </c>
    </row>
    <row r="137" spans="1:4" ht="15.75" x14ac:dyDescent="0.25">
      <c r="A137" s="35">
        <v>43966</v>
      </c>
      <c r="B137" s="60">
        <f>IF(OR(5&lt;WEEKDAY(A137,2),0&lt;COUNTIF(祝日!A:A,A137)),0,8)</f>
        <v>8</v>
      </c>
      <c r="C137" s="36" t="str">
        <f>IFERROR(
  IF(
    VLOOKUP($A137,祝日!$A:$C,2,FALSE)="",
    "",
    VLOOKUP($A137,祝日!$A:$C,2,FALSE)
  ),
  ""
)</f>
        <v/>
      </c>
      <c r="D137" s="36" t="str">
        <f>IFERROR(
  IF(
    VLOOKUP($A137,祝日!$A:$C,3,FALSE)="",
    "",
    VLOOKUP($A137,祝日!$A:$C,3,FALSE)
  ),
  ""
)</f>
        <v/>
      </c>
    </row>
    <row r="138" spans="1:4" ht="15.75" x14ac:dyDescent="0.25">
      <c r="A138" s="35">
        <v>43967</v>
      </c>
      <c r="B138" s="60">
        <f>IF(OR(5&lt;WEEKDAY(A138,2),0&lt;COUNTIF(祝日!A:A,A138)),0,8)</f>
        <v>0</v>
      </c>
      <c r="C138" s="36" t="str">
        <f>IFERROR(
  IF(
    VLOOKUP($A138,祝日!$A:$C,2,FALSE)="",
    "",
    VLOOKUP($A138,祝日!$A:$C,2,FALSE)
  ),
  ""
)</f>
        <v/>
      </c>
      <c r="D138" s="36" t="str">
        <f>IFERROR(
  IF(
    VLOOKUP($A138,祝日!$A:$C,3,FALSE)="",
    "",
    VLOOKUP($A138,祝日!$A:$C,3,FALSE)
  ),
  ""
)</f>
        <v/>
      </c>
    </row>
    <row r="139" spans="1:4" ht="15.75" x14ac:dyDescent="0.25">
      <c r="A139" s="35">
        <v>43968</v>
      </c>
      <c r="B139" s="60">
        <f>IF(OR(5&lt;WEEKDAY(A139,2),0&lt;COUNTIF(祝日!A:A,A139)),0,8)</f>
        <v>0</v>
      </c>
      <c r="C139" s="36" t="str">
        <f>IFERROR(
  IF(
    VLOOKUP($A139,祝日!$A:$C,2,FALSE)="",
    "",
    VLOOKUP($A139,祝日!$A:$C,2,FALSE)
  ),
  ""
)</f>
        <v/>
      </c>
      <c r="D139" s="36" t="str">
        <f>IFERROR(
  IF(
    VLOOKUP($A139,祝日!$A:$C,3,FALSE)="",
    "",
    VLOOKUP($A139,祝日!$A:$C,3,FALSE)
  ),
  ""
)</f>
        <v/>
      </c>
    </row>
    <row r="140" spans="1:4" ht="15.75" x14ac:dyDescent="0.25">
      <c r="A140" s="35">
        <v>43969</v>
      </c>
      <c r="B140" s="60">
        <f>IF(OR(5&lt;WEEKDAY(A140,2),0&lt;COUNTIF(祝日!A:A,A140)),0,8)</f>
        <v>8</v>
      </c>
      <c r="C140" s="36" t="str">
        <f>IFERROR(
  IF(
    VLOOKUP($A140,祝日!$A:$C,2,FALSE)="",
    "",
    VLOOKUP($A140,祝日!$A:$C,2,FALSE)
  ),
  ""
)</f>
        <v/>
      </c>
      <c r="D140" s="36" t="str">
        <f>IFERROR(
  IF(
    VLOOKUP($A140,祝日!$A:$C,3,FALSE)="",
    "",
    VLOOKUP($A140,祝日!$A:$C,3,FALSE)
  ),
  ""
)</f>
        <v/>
      </c>
    </row>
    <row r="141" spans="1:4" ht="15.75" x14ac:dyDescent="0.25">
      <c r="A141" s="35">
        <v>43970</v>
      </c>
      <c r="B141" s="60">
        <f>IF(OR(5&lt;WEEKDAY(A141,2),0&lt;COUNTIF(祝日!A:A,A141)),0,8)</f>
        <v>8</v>
      </c>
      <c r="C141" s="36" t="str">
        <f>IFERROR(
  IF(
    VLOOKUP($A141,祝日!$A:$C,2,FALSE)="",
    "",
    VLOOKUP($A141,祝日!$A:$C,2,FALSE)
  ),
  ""
)</f>
        <v/>
      </c>
      <c r="D141" s="36" t="str">
        <f>IFERROR(
  IF(
    VLOOKUP($A141,祝日!$A:$C,3,FALSE)="",
    "",
    VLOOKUP($A141,祝日!$A:$C,3,FALSE)
  ),
  ""
)</f>
        <v/>
      </c>
    </row>
    <row r="142" spans="1:4" ht="15.75" x14ac:dyDescent="0.25">
      <c r="A142" s="35">
        <v>43971</v>
      </c>
      <c r="B142" s="60">
        <f>IF(OR(5&lt;WEEKDAY(A142,2),0&lt;COUNTIF(祝日!A:A,A142)),0,8)</f>
        <v>8</v>
      </c>
      <c r="C142" s="36" t="str">
        <f>IFERROR(
  IF(
    VLOOKUP($A142,祝日!$A:$C,2,FALSE)="",
    "",
    VLOOKUP($A142,祝日!$A:$C,2,FALSE)
  ),
  ""
)</f>
        <v/>
      </c>
      <c r="D142" s="36" t="str">
        <f>IFERROR(
  IF(
    VLOOKUP($A142,祝日!$A:$C,3,FALSE)="",
    "",
    VLOOKUP($A142,祝日!$A:$C,3,FALSE)
  ),
  ""
)</f>
        <v/>
      </c>
    </row>
    <row r="143" spans="1:4" ht="15.75" x14ac:dyDescent="0.25">
      <c r="A143" s="35">
        <v>43972</v>
      </c>
      <c r="B143" s="60">
        <f>IF(OR(5&lt;WEEKDAY(A143,2),0&lt;COUNTIF(祝日!A:A,A143)),0,8)</f>
        <v>8</v>
      </c>
      <c r="C143" s="36" t="str">
        <f>IFERROR(
  IF(
    VLOOKUP($A143,祝日!$A:$C,2,FALSE)="",
    "",
    VLOOKUP($A143,祝日!$A:$C,2,FALSE)
  ),
  ""
)</f>
        <v/>
      </c>
      <c r="D143" s="36" t="str">
        <f>IFERROR(
  IF(
    VLOOKUP($A143,祝日!$A:$C,3,FALSE)="",
    "",
    VLOOKUP($A143,祝日!$A:$C,3,FALSE)
  ),
  ""
)</f>
        <v/>
      </c>
    </row>
    <row r="144" spans="1:4" ht="15.75" x14ac:dyDescent="0.25">
      <c r="A144" s="35">
        <v>43973</v>
      </c>
      <c r="B144" s="60">
        <f>IF(OR(5&lt;WEEKDAY(A144,2),0&lt;COUNTIF(祝日!A:A,A144)),0,8)</f>
        <v>8</v>
      </c>
      <c r="C144" s="36" t="str">
        <f>IFERROR(
  IF(
    VLOOKUP($A144,祝日!$A:$C,2,FALSE)="",
    "",
    VLOOKUP($A144,祝日!$A:$C,2,FALSE)
  ),
  ""
)</f>
        <v/>
      </c>
      <c r="D144" s="36" t="str">
        <f>IFERROR(
  IF(
    VLOOKUP($A144,祝日!$A:$C,3,FALSE)="",
    "",
    VLOOKUP($A144,祝日!$A:$C,3,FALSE)
  ),
  ""
)</f>
        <v/>
      </c>
    </row>
    <row r="145" spans="1:4" ht="15.75" x14ac:dyDescent="0.25">
      <c r="A145" s="35">
        <v>43974</v>
      </c>
      <c r="B145" s="60">
        <f>IF(OR(5&lt;WEEKDAY(A145,2),0&lt;COUNTIF(祝日!A:A,A145)),0,8)</f>
        <v>0</v>
      </c>
      <c r="C145" s="36" t="str">
        <f>IFERROR(
  IF(
    VLOOKUP($A145,祝日!$A:$C,2,FALSE)="",
    "",
    VLOOKUP($A145,祝日!$A:$C,2,FALSE)
  ),
  ""
)</f>
        <v/>
      </c>
      <c r="D145" s="36" t="str">
        <f>IFERROR(
  IF(
    VLOOKUP($A145,祝日!$A:$C,3,FALSE)="",
    "",
    VLOOKUP($A145,祝日!$A:$C,3,FALSE)
  ),
  ""
)</f>
        <v/>
      </c>
    </row>
    <row r="146" spans="1:4" ht="15.75" x14ac:dyDescent="0.25">
      <c r="A146" s="35">
        <v>43975</v>
      </c>
      <c r="B146" s="60">
        <f>IF(OR(5&lt;WEEKDAY(A146,2),0&lt;COUNTIF(祝日!A:A,A146)),0,8)</f>
        <v>0</v>
      </c>
      <c r="C146" s="36" t="str">
        <f>IFERROR(
  IF(
    VLOOKUP($A146,祝日!$A:$C,2,FALSE)="",
    "",
    VLOOKUP($A146,祝日!$A:$C,2,FALSE)
  ),
  ""
)</f>
        <v/>
      </c>
      <c r="D146" s="36" t="str">
        <f>IFERROR(
  IF(
    VLOOKUP($A146,祝日!$A:$C,3,FALSE)="",
    "",
    VLOOKUP($A146,祝日!$A:$C,3,FALSE)
  ),
  ""
)</f>
        <v/>
      </c>
    </row>
    <row r="147" spans="1:4" ht="15.75" x14ac:dyDescent="0.25">
      <c r="A147" s="35">
        <v>43976</v>
      </c>
      <c r="B147" s="60">
        <f>IF(OR(5&lt;WEEKDAY(A147,2),0&lt;COUNTIF(祝日!A:A,A147)),0,8)</f>
        <v>8</v>
      </c>
      <c r="C147" s="36" t="str">
        <f>IFERROR(
  IF(
    VLOOKUP($A147,祝日!$A:$C,2,FALSE)="",
    "",
    VLOOKUP($A147,祝日!$A:$C,2,FALSE)
  ),
  ""
)</f>
        <v/>
      </c>
      <c r="D147" s="36" t="str">
        <f>IFERROR(
  IF(
    VLOOKUP($A147,祝日!$A:$C,3,FALSE)="",
    "",
    VLOOKUP($A147,祝日!$A:$C,3,FALSE)
  ),
  ""
)</f>
        <v/>
      </c>
    </row>
    <row r="148" spans="1:4" ht="15.75" x14ac:dyDescent="0.25">
      <c r="A148" s="35">
        <v>43977</v>
      </c>
      <c r="B148" s="60">
        <f>IF(OR(5&lt;WEEKDAY(A148,2),0&lt;COUNTIF(祝日!A:A,A148)),0,8)</f>
        <v>8</v>
      </c>
      <c r="C148" s="36" t="str">
        <f>IFERROR(
  IF(
    VLOOKUP($A148,祝日!$A:$C,2,FALSE)="",
    "",
    VLOOKUP($A148,祝日!$A:$C,2,FALSE)
  ),
  ""
)</f>
        <v/>
      </c>
      <c r="D148" s="36" t="str">
        <f>IFERROR(
  IF(
    VLOOKUP($A148,祝日!$A:$C,3,FALSE)="",
    "",
    VLOOKUP($A148,祝日!$A:$C,3,FALSE)
  ),
  ""
)</f>
        <v/>
      </c>
    </row>
    <row r="149" spans="1:4" ht="15.75" x14ac:dyDescent="0.25">
      <c r="A149" s="35">
        <v>43978</v>
      </c>
      <c r="B149" s="60">
        <f>IF(OR(5&lt;WEEKDAY(A149,2),0&lt;COUNTIF(祝日!A:A,A149)),0,8)</f>
        <v>8</v>
      </c>
      <c r="C149" s="36" t="str">
        <f>IFERROR(
  IF(
    VLOOKUP($A149,祝日!$A:$C,2,FALSE)="",
    "",
    VLOOKUP($A149,祝日!$A:$C,2,FALSE)
  ),
  ""
)</f>
        <v/>
      </c>
      <c r="D149" s="36" t="str">
        <f>IFERROR(
  IF(
    VLOOKUP($A149,祝日!$A:$C,3,FALSE)="",
    "",
    VLOOKUP($A149,祝日!$A:$C,3,FALSE)
  ),
  ""
)</f>
        <v/>
      </c>
    </row>
    <row r="150" spans="1:4" ht="15.75" x14ac:dyDescent="0.25">
      <c r="A150" s="35">
        <v>43979</v>
      </c>
      <c r="B150" s="60">
        <f>IF(OR(5&lt;WEEKDAY(A150,2),0&lt;COUNTIF(祝日!A:A,A150)),0,8)</f>
        <v>8</v>
      </c>
      <c r="C150" s="36" t="str">
        <f>IFERROR(
  IF(
    VLOOKUP($A150,祝日!$A:$C,2,FALSE)="",
    "",
    VLOOKUP($A150,祝日!$A:$C,2,FALSE)
  ),
  ""
)</f>
        <v/>
      </c>
      <c r="D150" s="36" t="str">
        <f>IFERROR(
  IF(
    VLOOKUP($A150,祝日!$A:$C,3,FALSE)="",
    "",
    VLOOKUP($A150,祝日!$A:$C,3,FALSE)
  ),
  ""
)</f>
        <v/>
      </c>
    </row>
    <row r="151" spans="1:4" ht="15.75" x14ac:dyDescent="0.25">
      <c r="A151" s="35">
        <v>43980</v>
      </c>
      <c r="B151" s="60">
        <f>IF(OR(5&lt;WEEKDAY(A151,2),0&lt;COUNTIF(祝日!A:A,A151)),0,8)</f>
        <v>8</v>
      </c>
      <c r="C151" s="36" t="str">
        <f>IFERROR(
  IF(
    VLOOKUP($A151,祝日!$A:$C,2,FALSE)="",
    "",
    VLOOKUP($A151,祝日!$A:$C,2,FALSE)
  ),
  ""
)</f>
        <v/>
      </c>
      <c r="D151" s="36" t="str">
        <f>IFERROR(
  IF(
    VLOOKUP($A151,祝日!$A:$C,3,FALSE)="",
    "",
    VLOOKUP($A151,祝日!$A:$C,3,FALSE)
  ),
  ""
)</f>
        <v/>
      </c>
    </row>
    <row r="152" spans="1:4" ht="15.75" x14ac:dyDescent="0.25">
      <c r="A152" s="35">
        <v>43981</v>
      </c>
      <c r="B152" s="60">
        <f>IF(OR(5&lt;WEEKDAY(A152,2),0&lt;COUNTIF(祝日!A:A,A152)),0,8)</f>
        <v>0</v>
      </c>
      <c r="C152" s="36" t="str">
        <f>IFERROR(
  IF(
    VLOOKUP($A152,祝日!$A:$C,2,FALSE)="",
    "",
    VLOOKUP($A152,祝日!$A:$C,2,FALSE)
  ),
  ""
)</f>
        <v/>
      </c>
      <c r="D152" s="36" t="str">
        <f>IFERROR(
  IF(
    VLOOKUP($A152,祝日!$A:$C,3,FALSE)="",
    "",
    VLOOKUP($A152,祝日!$A:$C,3,FALSE)
  ),
  ""
)</f>
        <v/>
      </c>
    </row>
    <row r="153" spans="1:4" ht="15.75" x14ac:dyDescent="0.25">
      <c r="A153" s="35">
        <v>43982</v>
      </c>
      <c r="B153" s="60">
        <f>IF(OR(5&lt;WEEKDAY(A153,2),0&lt;COUNTIF(祝日!A:A,A153)),0,8)</f>
        <v>0</v>
      </c>
      <c r="C153" s="36" t="str">
        <f>IFERROR(
  IF(
    VLOOKUP($A153,祝日!$A:$C,2,FALSE)="",
    "",
    VLOOKUP($A153,祝日!$A:$C,2,FALSE)
  ),
  ""
)</f>
        <v/>
      </c>
      <c r="D153" s="36" t="str">
        <f>IFERROR(
  IF(
    VLOOKUP($A153,祝日!$A:$C,3,FALSE)="",
    "",
    VLOOKUP($A153,祝日!$A:$C,3,FALSE)
  ),
  ""
)</f>
        <v/>
      </c>
    </row>
    <row r="154" spans="1:4" ht="15.75" x14ac:dyDescent="0.25">
      <c r="A154" s="35">
        <v>43983</v>
      </c>
      <c r="B154" s="60">
        <f>IF(OR(5&lt;WEEKDAY(A154,2),0&lt;COUNTIF(祝日!A:A,A154)),0,8)</f>
        <v>8</v>
      </c>
      <c r="C154" s="36" t="str">
        <f>IFERROR(
  IF(
    VLOOKUP($A154,祝日!$A:$C,2,FALSE)="",
    "",
    VLOOKUP($A154,祝日!$A:$C,2,FALSE)
  ),
  ""
)</f>
        <v/>
      </c>
      <c r="D154" s="36" t="str">
        <f>IFERROR(
  IF(
    VLOOKUP($A154,祝日!$A:$C,3,FALSE)="",
    "",
    VLOOKUP($A154,祝日!$A:$C,3,FALSE)
  ),
  ""
)</f>
        <v/>
      </c>
    </row>
    <row r="155" spans="1:4" ht="15.75" x14ac:dyDescent="0.25">
      <c r="A155" s="35">
        <v>43984</v>
      </c>
      <c r="B155" s="60">
        <f>IF(OR(5&lt;WEEKDAY(A155,2),0&lt;COUNTIF(祝日!A:A,A155)),0,8)</f>
        <v>8</v>
      </c>
      <c r="C155" s="36" t="str">
        <f>IFERROR(
  IF(
    VLOOKUP($A155,祝日!$A:$C,2,FALSE)="",
    "",
    VLOOKUP($A155,祝日!$A:$C,2,FALSE)
  ),
  ""
)</f>
        <v/>
      </c>
      <c r="D155" s="36" t="str">
        <f>IFERROR(
  IF(
    VLOOKUP($A155,祝日!$A:$C,3,FALSE)="",
    "",
    VLOOKUP($A155,祝日!$A:$C,3,FALSE)
  ),
  ""
)</f>
        <v/>
      </c>
    </row>
    <row r="156" spans="1:4" ht="15.75" x14ac:dyDescent="0.25">
      <c r="A156" s="35">
        <v>43985</v>
      </c>
      <c r="B156" s="60">
        <f>IF(OR(5&lt;WEEKDAY(A156,2),0&lt;COUNTIF(祝日!A:A,A156)),0,8)</f>
        <v>8</v>
      </c>
      <c r="C156" s="36" t="str">
        <f>IFERROR(
  IF(
    VLOOKUP($A156,祝日!$A:$C,2,FALSE)="",
    "",
    VLOOKUP($A156,祝日!$A:$C,2,FALSE)
  ),
  ""
)</f>
        <v/>
      </c>
      <c r="D156" s="36" t="str">
        <f>IFERROR(
  IF(
    VLOOKUP($A156,祝日!$A:$C,3,FALSE)="",
    "",
    VLOOKUP($A156,祝日!$A:$C,3,FALSE)
  ),
  ""
)</f>
        <v/>
      </c>
    </row>
    <row r="157" spans="1:4" ht="15.75" x14ac:dyDescent="0.25">
      <c r="A157" s="35">
        <v>43986</v>
      </c>
      <c r="B157" s="60">
        <f>IF(OR(5&lt;WEEKDAY(A157,2),0&lt;COUNTIF(祝日!A:A,A157)),0,8)</f>
        <v>8</v>
      </c>
      <c r="C157" s="36" t="str">
        <f>IFERROR(
  IF(
    VLOOKUP($A157,祝日!$A:$C,2,FALSE)="",
    "",
    VLOOKUP($A157,祝日!$A:$C,2,FALSE)
  ),
  ""
)</f>
        <v/>
      </c>
      <c r="D157" s="36" t="str">
        <f>IFERROR(
  IF(
    VLOOKUP($A157,祝日!$A:$C,3,FALSE)="",
    "",
    VLOOKUP($A157,祝日!$A:$C,3,FALSE)
  ),
  ""
)</f>
        <v/>
      </c>
    </row>
    <row r="158" spans="1:4" ht="15.75" x14ac:dyDescent="0.25">
      <c r="A158" s="35">
        <v>43987</v>
      </c>
      <c r="B158" s="60">
        <f>IF(OR(5&lt;WEEKDAY(A158,2),0&lt;COUNTIF(祝日!A:A,A158)),0,8)</f>
        <v>8</v>
      </c>
      <c r="C158" s="36" t="str">
        <f>IFERROR(
  IF(
    VLOOKUP($A158,祝日!$A:$C,2,FALSE)="",
    "",
    VLOOKUP($A158,祝日!$A:$C,2,FALSE)
  ),
  ""
)</f>
        <v/>
      </c>
      <c r="D158" s="36" t="str">
        <f>IFERROR(
  IF(
    VLOOKUP($A158,祝日!$A:$C,3,FALSE)="",
    "",
    VLOOKUP($A158,祝日!$A:$C,3,FALSE)
  ),
  ""
)</f>
        <v/>
      </c>
    </row>
    <row r="159" spans="1:4" ht="15.75" x14ac:dyDescent="0.25">
      <c r="A159" s="35">
        <v>43988</v>
      </c>
      <c r="B159" s="60">
        <f>IF(OR(5&lt;WEEKDAY(A159,2),0&lt;COUNTIF(祝日!A:A,A159)),0,8)</f>
        <v>0</v>
      </c>
      <c r="C159" s="36" t="str">
        <f>IFERROR(
  IF(
    VLOOKUP($A159,祝日!$A:$C,2,FALSE)="",
    "",
    VLOOKUP($A159,祝日!$A:$C,2,FALSE)
  ),
  ""
)</f>
        <v/>
      </c>
      <c r="D159" s="36" t="str">
        <f>IFERROR(
  IF(
    VLOOKUP($A159,祝日!$A:$C,3,FALSE)="",
    "",
    VLOOKUP($A159,祝日!$A:$C,3,FALSE)
  ),
  ""
)</f>
        <v/>
      </c>
    </row>
    <row r="160" spans="1:4" ht="15.75" x14ac:dyDescent="0.25">
      <c r="A160" s="35">
        <v>43989</v>
      </c>
      <c r="B160" s="60">
        <f>IF(OR(5&lt;WEEKDAY(A160,2),0&lt;COUNTIF(祝日!A:A,A160)),0,8)</f>
        <v>0</v>
      </c>
      <c r="C160" s="36" t="str">
        <f>IFERROR(
  IF(
    VLOOKUP($A160,祝日!$A:$C,2,FALSE)="",
    "",
    VLOOKUP($A160,祝日!$A:$C,2,FALSE)
  ),
  ""
)</f>
        <v/>
      </c>
      <c r="D160" s="36" t="str">
        <f>IFERROR(
  IF(
    VLOOKUP($A160,祝日!$A:$C,3,FALSE)="",
    "",
    VLOOKUP($A160,祝日!$A:$C,3,FALSE)
  ),
  ""
)</f>
        <v/>
      </c>
    </row>
    <row r="161" spans="1:4" ht="15.75" x14ac:dyDescent="0.25">
      <c r="A161" s="35">
        <v>43990</v>
      </c>
      <c r="B161" s="60">
        <f>IF(OR(5&lt;WEEKDAY(A161,2),0&lt;COUNTIF(祝日!A:A,A161)),0,8)</f>
        <v>8</v>
      </c>
      <c r="C161" s="36" t="str">
        <f>IFERROR(
  IF(
    VLOOKUP($A161,祝日!$A:$C,2,FALSE)="",
    "",
    VLOOKUP($A161,祝日!$A:$C,2,FALSE)
  ),
  ""
)</f>
        <v/>
      </c>
      <c r="D161" s="36" t="str">
        <f>IFERROR(
  IF(
    VLOOKUP($A161,祝日!$A:$C,3,FALSE)="",
    "",
    VLOOKUP($A161,祝日!$A:$C,3,FALSE)
  ),
  ""
)</f>
        <v/>
      </c>
    </row>
    <row r="162" spans="1:4" ht="15.75" x14ac:dyDescent="0.25">
      <c r="A162" s="35">
        <v>43991</v>
      </c>
      <c r="B162" s="60">
        <f>IF(OR(5&lt;WEEKDAY(A162,2),0&lt;COUNTIF(祝日!A:A,A162)),0,8)</f>
        <v>8</v>
      </c>
      <c r="C162" s="36" t="str">
        <f>IFERROR(
  IF(
    VLOOKUP($A162,祝日!$A:$C,2,FALSE)="",
    "",
    VLOOKUP($A162,祝日!$A:$C,2,FALSE)
  ),
  ""
)</f>
        <v/>
      </c>
      <c r="D162" s="36" t="str">
        <f>IFERROR(
  IF(
    VLOOKUP($A162,祝日!$A:$C,3,FALSE)="",
    "",
    VLOOKUP($A162,祝日!$A:$C,3,FALSE)
  ),
  ""
)</f>
        <v/>
      </c>
    </row>
    <row r="163" spans="1:4" ht="15.75" x14ac:dyDescent="0.25">
      <c r="A163" s="35">
        <v>43992</v>
      </c>
      <c r="B163" s="60">
        <f>IF(OR(5&lt;WEEKDAY(A163,2),0&lt;COUNTIF(祝日!A:A,A163)),0,8)</f>
        <v>8</v>
      </c>
      <c r="C163" s="36" t="str">
        <f>IFERROR(
  IF(
    VLOOKUP($A163,祝日!$A:$C,2,FALSE)="",
    "",
    VLOOKUP($A163,祝日!$A:$C,2,FALSE)
  ),
  ""
)</f>
        <v/>
      </c>
      <c r="D163" s="36" t="str">
        <f>IFERROR(
  IF(
    VLOOKUP($A163,祝日!$A:$C,3,FALSE)="",
    "",
    VLOOKUP($A163,祝日!$A:$C,3,FALSE)
  ),
  ""
)</f>
        <v/>
      </c>
    </row>
    <row r="164" spans="1:4" ht="15.75" x14ac:dyDescent="0.25">
      <c r="A164" s="35">
        <v>43993</v>
      </c>
      <c r="B164" s="60">
        <f>IF(OR(5&lt;WEEKDAY(A164,2),0&lt;COUNTIF(祝日!A:A,A164)),0,8)</f>
        <v>8</v>
      </c>
      <c r="C164" s="36" t="str">
        <f>IFERROR(
  IF(
    VLOOKUP($A164,祝日!$A:$C,2,FALSE)="",
    "",
    VLOOKUP($A164,祝日!$A:$C,2,FALSE)
  ),
  ""
)</f>
        <v/>
      </c>
      <c r="D164" s="36" t="str">
        <f>IFERROR(
  IF(
    VLOOKUP($A164,祝日!$A:$C,3,FALSE)="",
    "",
    VLOOKUP($A164,祝日!$A:$C,3,FALSE)
  ),
  ""
)</f>
        <v/>
      </c>
    </row>
    <row r="165" spans="1:4" ht="15.75" x14ac:dyDescent="0.25">
      <c r="A165" s="35">
        <v>43994</v>
      </c>
      <c r="B165" s="60">
        <f>IF(OR(5&lt;WEEKDAY(A165,2),0&lt;COUNTIF(祝日!A:A,A165)),0,8)</f>
        <v>8</v>
      </c>
      <c r="C165" s="36" t="str">
        <f>IFERROR(
  IF(
    VLOOKUP($A165,祝日!$A:$C,2,FALSE)="",
    "",
    VLOOKUP($A165,祝日!$A:$C,2,FALSE)
  ),
  ""
)</f>
        <v/>
      </c>
      <c r="D165" s="36" t="str">
        <f>IFERROR(
  IF(
    VLOOKUP($A165,祝日!$A:$C,3,FALSE)="",
    "",
    VLOOKUP($A165,祝日!$A:$C,3,FALSE)
  ),
  ""
)</f>
        <v/>
      </c>
    </row>
    <row r="166" spans="1:4" ht="15.75" x14ac:dyDescent="0.25">
      <c r="A166" s="35">
        <v>43995</v>
      </c>
      <c r="B166" s="60">
        <f>IF(OR(5&lt;WEEKDAY(A166,2),0&lt;COUNTIF(祝日!A:A,A166)),0,8)</f>
        <v>0</v>
      </c>
      <c r="C166" s="36" t="str">
        <f>IFERROR(
  IF(
    VLOOKUP($A166,祝日!$A:$C,2,FALSE)="",
    "",
    VLOOKUP($A166,祝日!$A:$C,2,FALSE)
  ),
  ""
)</f>
        <v/>
      </c>
      <c r="D166" s="36" t="str">
        <f>IFERROR(
  IF(
    VLOOKUP($A166,祝日!$A:$C,3,FALSE)="",
    "",
    VLOOKUP($A166,祝日!$A:$C,3,FALSE)
  ),
  ""
)</f>
        <v/>
      </c>
    </row>
    <row r="167" spans="1:4" ht="15.75" x14ac:dyDescent="0.25">
      <c r="A167" s="35">
        <v>43996</v>
      </c>
      <c r="B167" s="60">
        <f>IF(OR(5&lt;WEEKDAY(A167,2),0&lt;COUNTIF(祝日!A:A,A167)),0,8)</f>
        <v>0</v>
      </c>
      <c r="C167" s="36" t="str">
        <f>IFERROR(
  IF(
    VLOOKUP($A167,祝日!$A:$C,2,FALSE)="",
    "",
    VLOOKUP($A167,祝日!$A:$C,2,FALSE)
  ),
  ""
)</f>
        <v/>
      </c>
      <c r="D167" s="36" t="str">
        <f>IFERROR(
  IF(
    VLOOKUP($A167,祝日!$A:$C,3,FALSE)="",
    "",
    VLOOKUP($A167,祝日!$A:$C,3,FALSE)
  ),
  ""
)</f>
        <v/>
      </c>
    </row>
    <row r="168" spans="1:4" ht="15.75" x14ac:dyDescent="0.25">
      <c r="A168" s="35">
        <v>43997</v>
      </c>
      <c r="B168" s="60">
        <f>IF(OR(5&lt;WEEKDAY(A168,2),0&lt;COUNTIF(祝日!A:A,A168)),0,8)</f>
        <v>8</v>
      </c>
      <c r="C168" s="36" t="str">
        <f>IFERROR(
  IF(
    VLOOKUP($A168,祝日!$A:$C,2,FALSE)="",
    "",
    VLOOKUP($A168,祝日!$A:$C,2,FALSE)
  ),
  ""
)</f>
        <v/>
      </c>
      <c r="D168" s="36" t="str">
        <f>IFERROR(
  IF(
    VLOOKUP($A168,祝日!$A:$C,3,FALSE)="",
    "",
    VLOOKUP($A168,祝日!$A:$C,3,FALSE)
  ),
  ""
)</f>
        <v/>
      </c>
    </row>
    <row r="169" spans="1:4" ht="15.75" x14ac:dyDescent="0.25">
      <c r="A169" s="35">
        <v>43998</v>
      </c>
      <c r="B169" s="60">
        <f>IF(OR(5&lt;WEEKDAY(A169,2),0&lt;COUNTIF(祝日!A:A,A169)),0,8)</f>
        <v>8</v>
      </c>
      <c r="C169" s="36" t="str">
        <f>IFERROR(
  IF(
    VLOOKUP($A169,祝日!$A:$C,2,FALSE)="",
    "",
    VLOOKUP($A169,祝日!$A:$C,2,FALSE)
  ),
  ""
)</f>
        <v/>
      </c>
      <c r="D169" s="36" t="str">
        <f>IFERROR(
  IF(
    VLOOKUP($A169,祝日!$A:$C,3,FALSE)="",
    "",
    VLOOKUP($A169,祝日!$A:$C,3,FALSE)
  ),
  ""
)</f>
        <v/>
      </c>
    </row>
    <row r="170" spans="1:4" ht="15.75" x14ac:dyDescent="0.25">
      <c r="A170" s="35">
        <v>43999</v>
      </c>
      <c r="B170" s="60">
        <f>IF(OR(5&lt;WEEKDAY(A170,2),0&lt;COUNTIF(祝日!A:A,A170)),0,8)</f>
        <v>8</v>
      </c>
      <c r="C170" s="36" t="str">
        <f>IFERROR(
  IF(
    VLOOKUP($A170,祝日!$A:$C,2,FALSE)="",
    "",
    VLOOKUP($A170,祝日!$A:$C,2,FALSE)
  ),
  ""
)</f>
        <v/>
      </c>
      <c r="D170" s="36" t="str">
        <f>IFERROR(
  IF(
    VLOOKUP($A170,祝日!$A:$C,3,FALSE)="",
    "",
    VLOOKUP($A170,祝日!$A:$C,3,FALSE)
  ),
  ""
)</f>
        <v/>
      </c>
    </row>
    <row r="171" spans="1:4" ht="15.75" x14ac:dyDescent="0.25">
      <c r="A171" s="35">
        <v>44000</v>
      </c>
      <c r="B171" s="60">
        <f>IF(OR(5&lt;WEEKDAY(A171,2),0&lt;COUNTIF(祝日!A:A,A171)),0,8)</f>
        <v>8</v>
      </c>
      <c r="C171" s="36" t="str">
        <f>IFERROR(
  IF(
    VLOOKUP($A171,祝日!$A:$C,2,FALSE)="",
    "",
    VLOOKUP($A171,祝日!$A:$C,2,FALSE)
  ),
  ""
)</f>
        <v/>
      </c>
      <c r="D171" s="36" t="str">
        <f>IFERROR(
  IF(
    VLOOKUP($A171,祝日!$A:$C,3,FALSE)="",
    "",
    VLOOKUP($A171,祝日!$A:$C,3,FALSE)
  ),
  ""
)</f>
        <v/>
      </c>
    </row>
    <row r="172" spans="1:4" ht="15.75" x14ac:dyDescent="0.25">
      <c r="A172" s="35">
        <v>44001</v>
      </c>
      <c r="B172" s="60">
        <f>IF(OR(5&lt;WEEKDAY(A172,2),0&lt;COUNTIF(祝日!A:A,A172)),0,8)</f>
        <v>8</v>
      </c>
      <c r="C172" s="36" t="str">
        <f>IFERROR(
  IF(
    VLOOKUP($A172,祝日!$A:$C,2,FALSE)="",
    "",
    VLOOKUP($A172,祝日!$A:$C,2,FALSE)
  ),
  ""
)</f>
        <v/>
      </c>
      <c r="D172" s="36" t="str">
        <f>IFERROR(
  IF(
    VLOOKUP($A172,祝日!$A:$C,3,FALSE)="",
    "",
    VLOOKUP($A172,祝日!$A:$C,3,FALSE)
  ),
  ""
)</f>
        <v/>
      </c>
    </row>
    <row r="173" spans="1:4" ht="15.75" x14ac:dyDescent="0.25">
      <c r="A173" s="35">
        <v>44002</v>
      </c>
      <c r="B173" s="60">
        <f>IF(OR(5&lt;WEEKDAY(A173,2),0&lt;COUNTIF(祝日!A:A,A173)),0,8)</f>
        <v>0</v>
      </c>
      <c r="C173" s="36" t="str">
        <f>IFERROR(
  IF(
    VLOOKUP($A173,祝日!$A:$C,2,FALSE)="",
    "",
    VLOOKUP($A173,祝日!$A:$C,2,FALSE)
  ),
  ""
)</f>
        <v/>
      </c>
      <c r="D173" s="36" t="str">
        <f>IFERROR(
  IF(
    VLOOKUP($A173,祝日!$A:$C,3,FALSE)="",
    "",
    VLOOKUP($A173,祝日!$A:$C,3,FALSE)
  ),
  ""
)</f>
        <v/>
      </c>
    </row>
    <row r="174" spans="1:4" ht="15.75" x14ac:dyDescent="0.25">
      <c r="A174" s="35">
        <v>44003</v>
      </c>
      <c r="B174" s="60">
        <f>IF(OR(5&lt;WEEKDAY(A174,2),0&lt;COUNTIF(祝日!A:A,A174)),0,8)</f>
        <v>0</v>
      </c>
      <c r="C174" s="36" t="str">
        <f>IFERROR(
  IF(
    VLOOKUP($A174,祝日!$A:$C,2,FALSE)="",
    "",
    VLOOKUP($A174,祝日!$A:$C,2,FALSE)
  ),
  ""
)</f>
        <v/>
      </c>
      <c r="D174" s="36" t="str">
        <f>IFERROR(
  IF(
    VLOOKUP($A174,祝日!$A:$C,3,FALSE)="",
    "",
    VLOOKUP($A174,祝日!$A:$C,3,FALSE)
  ),
  ""
)</f>
        <v/>
      </c>
    </row>
    <row r="175" spans="1:4" ht="15.75" x14ac:dyDescent="0.25">
      <c r="A175" s="35">
        <v>44004</v>
      </c>
      <c r="B175" s="60">
        <f>IF(OR(5&lt;WEEKDAY(A175,2),0&lt;COUNTIF(祝日!A:A,A175)),0,8)</f>
        <v>8</v>
      </c>
      <c r="C175" s="36" t="str">
        <f>IFERROR(
  IF(
    VLOOKUP($A175,祝日!$A:$C,2,FALSE)="",
    "",
    VLOOKUP($A175,祝日!$A:$C,2,FALSE)
  ),
  ""
)</f>
        <v/>
      </c>
      <c r="D175" s="36" t="str">
        <f>IFERROR(
  IF(
    VLOOKUP($A175,祝日!$A:$C,3,FALSE)="",
    "",
    VLOOKUP($A175,祝日!$A:$C,3,FALSE)
  ),
  ""
)</f>
        <v/>
      </c>
    </row>
    <row r="176" spans="1:4" ht="15.75" x14ac:dyDescent="0.25">
      <c r="A176" s="35">
        <v>44005</v>
      </c>
      <c r="B176" s="60">
        <f>IF(OR(5&lt;WEEKDAY(A176,2),0&lt;COUNTIF(祝日!A:A,A176)),0,8)</f>
        <v>8</v>
      </c>
      <c r="C176" s="36" t="str">
        <f>IFERROR(
  IF(
    VLOOKUP($A176,祝日!$A:$C,2,FALSE)="",
    "",
    VLOOKUP($A176,祝日!$A:$C,2,FALSE)
  ),
  ""
)</f>
        <v/>
      </c>
      <c r="D176" s="36" t="str">
        <f>IFERROR(
  IF(
    VLOOKUP($A176,祝日!$A:$C,3,FALSE)="",
    "",
    VLOOKUP($A176,祝日!$A:$C,3,FALSE)
  ),
  ""
)</f>
        <v/>
      </c>
    </row>
    <row r="177" spans="1:4" ht="15.75" x14ac:dyDescent="0.25">
      <c r="A177" s="35">
        <v>44006</v>
      </c>
      <c r="B177" s="60">
        <f>IF(OR(5&lt;WEEKDAY(A177,2),0&lt;COUNTIF(祝日!A:A,A177)),0,8)</f>
        <v>8</v>
      </c>
      <c r="C177" s="36" t="str">
        <f>IFERROR(
  IF(
    VLOOKUP($A177,祝日!$A:$C,2,FALSE)="",
    "",
    VLOOKUP($A177,祝日!$A:$C,2,FALSE)
  ),
  ""
)</f>
        <v/>
      </c>
      <c r="D177" s="36" t="str">
        <f>IFERROR(
  IF(
    VLOOKUP($A177,祝日!$A:$C,3,FALSE)="",
    "",
    VLOOKUP($A177,祝日!$A:$C,3,FALSE)
  ),
  ""
)</f>
        <v/>
      </c>
    </row>
    <row r="178" spans="1:4" ht="15.75" x14ac:dyDescent="0.25">
      <c r="A178" s="35">
        <v>44007</v>
      </c>
      <c r="B178" s="60">
        <f>IF(OR(5&lt;WEEKDAY(A178,2),0&lt;COUNTIF(祝日!A:A,A178)),0,8)</f>
        <v>8</v>
      </c>
      <c r="C178" s="36" t="str">
        <f>IFERROR(
  IF(
    VLOOKUP($A178,祝日!$A:$C,2,FALSE)="",
    "",
    VLOOKUP($A178,祝日!$A:$C,2,FALSE)
  ),
  ""
)</f>
        <v/>
      </c>
      <c r="D178" s="36" t="str">
        <f>IFERROR(
  IF(
    VLOOKUP($A178,祝日!$A:$C,3,FALSE)="",
    "",
    VLOOKUP($A178,祝日!$A:$C,3,FALSE)
  ),
  ""
)</f>
        <v/>
      </c>
    </row>
    <row r="179" spans="1:4" ht="15.75" x14ac:dyDescent="0.25">
      <c r="A179" s="35">
        <v>44008</v>
      </c>
      <c r="B179" s="60">
        <f>IF(OR(5&lt;WEEKDAY(A179,2),0&lt;COUNTIF(祝日!A:A,A179)),0,8)</f>
        <v>8</v>
      </c>
      <c r="C179" s="36" t="str">
        <f>IFERROR(
  IF(
    VLOOKUP($A179,祝日!$A:$C,2,FALSE)="",
    "",
    VLOOKUP($A179,祝日!$A:$C,2,FALSE)
  ),
  ""
)</f>
        <v/>
      </c>
      <c r="D179" s="36" t="str">
        <f>IFERROR(
  IF(
    VLOOKUP($A179,祝日!$A:$C,3,FALSE)="",
    "",
    VLOOKUP($A179,祝日!$A:$C,3,FALSE)
  ),
  ""
)</f>
        <v/>
      </c>
    </row>
    <row r="180" spans="1:4" ht="15.75" x14ac:dyDescent="0.25">
      <c r="A180" s="35">
        <v>44009</v>
      </c>
      <c r="B180" s="60">
        <f>IF(OR(5&lt;WEEKDAY(A180,2),0&lt;COUNTIF(祝日!A:A,A180)),0,8)</f>
        <v>0</v>
      </c>
      <c r="C180" s="36" t="str">
        <f>IFERROR(
  IF(
    VLOOKUP($A180,祝日!$A:$C,2,FALSE)="",
    "",
    VLOOKUP($A180,祝日!$A:$C,2,FALSE)
  ),
  ""
)</f>
        <v/>
      </c>
      <c r="D180" s="36" t="str">
        <f>IFERROR(
  IF(
    VLOOKUP($A180,祝日!$A:$C,3,FALSE)="",
    "",
    VLOOKUP($A180,祝日!$A:$C,3,FALSE)
  ),
  ""
)</f>
        <v/>
      </c>
    </row>
    <row r="181" spans="1:4" ht="15.75" x14ac:dyDescent="0.25">
      <c r="A181" s="35">
        <v>44010</v>
      </c>
      <c r="B181" s="60">
        <f>IF(OR(5&lt;WEEKDAY(A181,2),0&lt;COUNTIF(祝日!A:A,A181)),0,8)</f>
        <v>0</v>
      </c>
      <c r="C181" s="36" t="str">
        <f>IFERROR(
  IF(
    VLOOKUP($A181,祝日!$A:$C,2,FALSE)="",
    "",
    VLOOKUP($A181,祝日!$A:$C,2,FALSE)
  ),
  ""
)</f>
        <v/>
      </c>
      <c r="D181" s="36" t="str">
        <f>IFERROR(
  IF(
    VLOOKUP($A181,祝日!$A:$C,3,FALSE)="",
    "",
    VLOOKUP($A181,祝日!$A:$C,3,FALSE)
  ),
  ""
)</f>
        <v/>
      </c>
    </row>
    <row r="182" spans="1:4" ht="15.75" x14ac:dyDescent="0.25">
      <c r="A182" s="35">
        <v>44011</v>
      </c>
      <c r="B182" s="60">
        <f>IF(OR(5&lt;WEEKDAY(A182,2),0&lt;COUNTIF(祝日!A:A,A182)),0,8)</f>
        <v>8</v>
      </c>
      <c r="C182" s="36" t="str">
        <f>IFERROR(
  IF(
    VLOOKUP($A182,祝日!$A:$C,2,FALSE)="",
    "",
    VLOOKUP($A182,祝日!$A:$C,2,FALSE)
  ),
  ""
)</f>
        <v/>
      </c>
      <c r="D182" s="36" t="str">
        <f>IFERROR(
  IF(
    VLOOKUP($A182,祝日!$A:$C,3,FALSE)="",
    "",
    VLOOKUP($A182,祝日!$A:$C,3,FALSE)
  ),
  ""
)</f>
        <v/>
      </c>
    </row>
    <row r="183" spans="1:4" ht="15.75" x14ac:dyDescent="0.25">
      <c r="A183" s="35">
        <v>44012</v>
      </c>
      <c r="B183" s="60">
        <f>IF(OR(5&lt;WEEKDAY(A183,2),0&lt;COUNTIF(祝日!A:A,A183)),0,8)</f>
        <v>8</v>
      </c>
      <c r="C183" s="36" t="str">
        <f>IFERROR(
  IF(
    VLOOKUP($A183,祝日!$A:$C,2,FALSE)="",
    "",
    VLOOKUP($A183,祝日!$A:$C,2,FALSE)
  ),
  ""
)</f>
        <v/>
      </c>
      <c r="D183" s="36" t="str">
        <f>IFERROR(
  IF(
    VLOOKUP($A183,祝日!$A:$C,3,FALSE)="",
    "",
    VLOOKUP($A183,祝日!$A:$C,3,FALSE)
  ),
  ""
)</f>
        <v/>
      </c>
    </row>
    <row r="184" spans="1:4" ht="15.75" x14ac:dyDescent="0.25">
      <c r="A184" s="35">
        <v>44013</v>
      </c>
      <c r="B184" s="60">
        <f>IF(OR(5&lt;WEEKDAY(A184,2),0&lt;COUNTIF(祝日!A:A,A184)),0,8)</f>
        <v>8</v>
      </c>
      <c r="C184" s="36" t="str">
        <f>IFERROR(
  IF(
    VLOOKUP($A184,祝日!$A:$C,2,FALSE)="",
    "",
    VLOOKUP($A184,祝日!$A:$C,2,FALSE)
  ),
  ""
)</f>
        <v/>
      </c>
      <c r="D184" s="36" t="str">
        <f>IFERROR(
  IF(
    VLOOKUP($A184,祝日!$A:$C,3,FALSE)="",
    "",
    VLOOKUP($A184,祝日!$A:$C,3,FALSE)
  ),
  ""
)</f>
        <v/>
      </c>
    </row>
    <row r="185" spans="1:4" ht="15.75" x14ac:dyDescent="0.25">
      <c r="A185" s="35">
        <v>44014</v>
      </c>
      <c r="B185" s="60">
        <f>IF(OR(5&lt;WEEKDAY(A185,2),0&lt;COUNTIF(祝日!A:A,A185)),0,8)</f>
        <v>8</v>
      </c>
      <c r="C185" s="36" t="str">
        <f>IFERROR(
  IF(
    VLOOKUP($A185,祝日!$A:$C,2,FALSE)="",
    "",
    VLOOKUP($A185,祝日!$A:$C,2,FALSE)
  ),
  ""
)</f>
        <v/>
      </c>
      <c r="D185" s="36" t="str">
        <f>IFERROR(
  IF(
    VLOOKUP($A185,祝日!$A:$C,3,FALSE)="",
    "",
    VLOOKUP($A185,祝日!$A:$C,3,FALSE)
  ),
  ""
)</f>
        <v/>
      </c>
    </row>
    <row r="186" spans="1:4" ht="15.75" x14ac:dyDescent="0.25">
      <c r="A186" s="35">
        <v>44015</v>
      </c>
      <c r="B186" s="60">
        <f>IF(OR(5&lt;WEEKDAY(A186,2),0&lt;COUNTIF(祝日!A:A,A186)),0,8)</f>
        <v>8</v>
      </c>
      <c r="C186" s="36" t="str">
        <f>IFERROR(
  IF(
    VLOOKUP($A186,祝日!$A:$C,2,FALSE)="",
    "",
    VLOOKUP($A186,祝日!$A:$C,2,FALSE)
  ),
  ""
)</f>
        <v/>
      </c>
      <c r="D186" s="36" t="str">
        <f>IFERROR(
  IF(
    VLOOKUP($A186,祝日!$A:$C,3,FALSE)="",
    "",
    VLOOKUP($A186,祝日!$A:$C,3,FALSE)
  ),
  ""
)</f>
        <v/>
      </c>
    </row>
    <row r="187" spans="1:4" ht="15.75" x14ac:dyDescent="0.25">
      <c r="A187" s="35">
        <v>44016</v>
      </c>
      <c r="B187" s="60">
        <f>IF(OR(5&lt;WEEKDAY(A187,2),0&lt;COUNTIF(祝日!A:A,A187)),0,8)</f>
        <v>0</v>
      </c>
      <c r="C187" s="36" t="str">
        <f>IFERROR(
  IF(
    VLOOKUP($A187,祝日!$A:$C,2,FALSE)="",
    "",
    VLOOKUP($A187,祝日!$A:$C,2,FALSE)
  ),
  ""
)</f>
        <v/>
      </c>
      <c r="D187" s="36" t="str">
        <f>IFERROR(
  IF(
    VLOOKUP($A187,祝日!$A:$C,3,FALSE)="",
    "",
    VLOOKUP($A187,祝日!$A:$C,3,FALSE)
  ),
  ""
)</f>
        <v/>
      </c>
    </row>
    <row r="188" spans="1:4" ht="15.75" x14ac:dyDescent="0.25">
      <c r="A188" s="35">
        <v>44017</v>
      </c>
      <c r="B188" s="60">
        <f>IF(OR(5&lt;WEEKDAY(A188,2),0&lt;COUNTIF(祝日!A:A,A188)),0,8)</f>
        <v>0</v>
      </c>
      <c r="C188" s="36" t="str">
        <f>IFERROR(
  IF(
    VLOOKUP($A188,祝日!$A:$C,2,FALSE)="",
    "",
    VLOOKUP($A188,祝日!$A:$C,2,FALSE)
  ),
  ""
)</f>
        <v/>
      </c>
      <c r="D188" s="36" t="str">
        <f>IFERROR(
  IF(
    VLOOKUP($A188,祝日!$A:$C,3,FALSE)="",
    "",
    VLOOKUP($A188,祝日!$A:$C,3,FALSE)
  ),
  ""
)</f>
        <v/>
      </c>
    </row>
    <row r="189" spans="1:4" ht="15.75" x14ac:dyDescent="0.25">
      <c r="A189" s="35">
        <v>44018</v>
      </c>
      <c r="B189" s="60">
        <f>IF(OR(5&lt;WEEKDAY(A189,2),0&lt;COUNTIF(祝日!A:A,A189)),0,8)</f>
        <v>8</v>
      </c>
      <c r="C189" s="36" t="str">
        <f>IFERROR(
  IF(
    VLOOKUP($A189,祝日!$A:$C,2,FALSE)="",
    "",
    VLOOKUP($A189,祝日!$A:$C,2,FALSE)
  ),
  ""
)</f>
        <v/>
      </c>
      <c r="D189" s="36" t="str">
        <f>IFERROR(
  IF(
    VLOOKUP($A189,祝日!$A:$C,3,FALSE)="",
    "",
    VLOOKUP($A189,祝日!$A:$C,3,FALSE)
  ),
  ""
)</f>
        <v/>
      </c>
    </row>
    <row r="190" spans="1:4" ht="15.75" x14ac:dyDescent="0.25">
      <c r="A190" s="35">
        <v>44019</v>
      </c>
      <c r="B190" s="60">
        <f>IF(OR(5&lt;WEEKDAY(A190,2),0&lt;COUNTIF(祝日!A:A,A190)),0,8)</f>
        <v>8</v>
      </c>
      <c r="C190" s="36" t="str">
        <f>IFERROR(
  IF(
    VLOOKUP($A190,祝日!$A:$C,2,FALSE)="",
    "",
    VLOOKUP($A190,祝日!$A:$C,2,FALSE)
  ),
  ""
)</f>
        <v/>
      </c>
      <c r="D190" s="36" t="str">
        <f>IFERROR(
  IF(
    VLOOKUP($A190,祝日!$A:$C,3,FALSE)="",
    "",
    VLOOKUP($A190,祝日!$A:$C,3,FALSE)
  ),
  ""
)</f>
        <v/>
      </c>
    </row>
    <row r="191" spans="1:4" ht="15.75" x14ac:dyDescent="0.25">
      <c r="A191" s="35">
        <v>44020</v>
      </c>
      <c r="B191" s="60">
        <f>IF(OR(5&lt;WEEKDAY(A191,2),0&lt;COUNTIF(祝日!A:A,A191)),0,8)</f>
        <v>8</v>
      </c>
      <c r="C191" s="36" t="str">
        <f>IFERROR(
  IF(
    VLOOKUP($A191,祝日!$A:$C,2,FALSE)="",
    "",
    VLOOKUP($A191,祝日!$A:$C,2,FALSE)
  ),
  ""
)</f>
        <v/>
      </c>
      <c r="D191" s="36" t="str">
        <f>IFERROR(
  IF(
    VLOOKUP($A191,祝日!$A:$C,3,FALSE)="",
    "",
    VLOOKUP($A191,祝日!$A:$C,3,FALSE)
  ),
  ""
)</f>
        <v/>
      </c>
    </row>
    <row r="192" spans="1:4" ht="15.75" x14ac:dyDescent="0.25">
      <c r="A192" s="35">
        <v>44021</v>
      </c>
      <c r="B192" s="60">
        <f>IF(OR(5&lt;WEEKDAY(A192,2),0&lt;COUNTIF(祝日!A:A,A192)),0,8)</f>
        <v>8</v>
      </c>
      <c r="C192" s="36" t="str">
        <f>IFERROR(
  IF(
    VLOOKUP($A192,祝日!$A:$C,2,FALSE)="",
    "",
    VLOOKUP($A192,祝日!$A:$C,2,FALSE)
  ),
  ""
)</f>
        <v/>
      </c>
      <c r="D192" s="36" t="str">
        <f>IFERROR(
  IF(
    VLOOKUP($A192,祝日!$A:$C,3,FALSE)="",
    "",
    VLOOKUP($A192,祝日!$A:$C,3,FALSE)
  ),
  ""
)</f>
        <v/>
      </c>
    </row>
    <row r="193" spans="1:4" ht="15.75" x14ac:dyDescent="0.25">
      <c r="A193" s="35">
        <v>44022</v>
      </c>
      <c r="B193" s="60">
        <f>IF(OR(5&lt;WEEKDAY(A193,2),0&lt;COUNTIF(祝日!A:A,A193)),0,8)</f>
        <v>8</v>
      </c>
      <c r="C193" s="36" t="str">
        <f>IFERROR(
  IF(
    VLOOKUP($A193,祝日!$A:$C,2,FALSE)="",
    "",
    VLOOKUP($A193,祝日!$A:$C,2,FALSE)
  ),
  ""
)</f>
        <v/>
      </c>
      <c r="D193" s="36" t="str">
        <f>IFERROR(
  IF(
    VLOOKUP($A193,祝日!$A:$C,3,FALSE)="",
    "",
    VLOOKUP($A193,祝日!$A:$C,3,FALSE)
  ),
  ""
)</f>
        <v/>
      </c>
    </row>
    <row r="194" spans="1:4" ht="15.75" x14ac:dyDescent="0.25">
      <c r="A194" s="35">
        <v>44023</v>
      </c>
      <c r="B194" s="60">
        <f>IF(OR(5&lt;WEEKDAY(A194,2),0&lt;COUNTIF(祝日!A:A,A194)),0,8)</f>
        <v>0</v>
      </c>
      <c r="C194" s="36" t="str">
        <f>IFERROR(
  IF(
    VLOOKUP($A194,祝日!$A:$C,2,FALSE)="",
    "",
    VLOOKUP($A194,祝日!$A:$C,2,FALSE)
  ),
  ""
)</f>
        <v/>
      </c>
      <c r="D194" s="36" t="str">
        <f>IFERROR(
  IF(
    VLOOKUP($A194,祝日!$A:$C,3,FALSE)="",
    "",
    VLOOKUP($A194,祝日!$A:$C,3,FALSE)
  ),
  ""
)</f>
        <v/>
      </c>
    </row>
    <row r="195" spans="1:4" ht="15.75" x14ac:dyDescent="0.25">
      <c r="A195" s="35">
        <v>44024</v>
      </c>
      <c r="B195" s="60">
        <f>IF(OR(5&lt;WEEKDAY(A195,2),0&lt;COUNTIF(祝日!A:A,A195)),0,8)</f>
        <v>0</v>
      </c>
      <c r="C195" s="36" t="str">
        <f>IFERROR(
  IF(
    VLOOKUP($A195,祝日!$A:$C,2,FALSE)="",
    "",
    VLOOKUP($A195,祝日!$A:$C,2,FALSE)
  ),
  ""
)</f>
        <v/>
      </c>
      <c r="D195" s="36" t="str">
        <f>IFERROR(
  IF(
    VLOOKUP($A195,祝日!$A:$C,3,FALSE)="",
    "",
    VLOOKUP($A195,祝日!$A:$C,3,FALSE)
  ),
  ""
)</f>
        <v/>
      </c>
    </row>
    <row r="196" spans="1:4" ht="15.75" x14ac:dyDescent="0.25">
      <c r="A196" s="35">
        <v>44025</v>
      </c>
      <c r="B196" s="60">
        <f>IF(OR(5&lt;WEEKDAY(A196,2),0&lt;COUNTIF(祝日!A:A,A196)),0,8)</f>
        <v>8</v>
      </c>
      <c r="C196" s="36" t="str">
        <f>IFERROR(
  IF(
    VLOOKUP($A196,祝日!$A:$C,2,FALSE)="",
    "",
    VLOOKUP($A196,祝日!$A:$C,2,FALSE)
  ),
  ""
)</f>
        <v/>
      </c>
      <c r="D196" s="36" t="str">
        <f>IFERROR(
  IF(
    VLOOKUP($A196,祝日!$A:$C,3,FALSE)="",
    "",
    VLOOKUP($A196,祝日!$A:$C,3,FALSE)
  ),
  ""
)</f>
        <v/>
      </c>
    </row>
    <row r="197" spans="1:4" ht="15.75" x14ac:dyDescent="0.25">
      <c r="A197" s="35">
        <v>44026</v>
      </c>
      <c r="B197" s="60">
        <f>IF(OR(5&lt;WEEKDAY(A197,2),0&lt;COUNTIF(祝日!A:A,A197)),0,8)</f>
        <v>8</v>
      </c>
      <c r="C197" s="36" t="str">
        <f>IFERROR(
  IF(
    VLOOKUP($A197,祝日!$A:$C,2,FALSE)="",
    "",
    VLOOKUP($A197,祝日!$A:$C,2,FALSE)
  ),
  ""
)</f>
        <v/>
      </c>
      <c r="D197" s="36" t="str">
        <f>IFERROR(
  IF(
    VLOOKUP($A197,祝日!$A:$C,3,FALSE)="",
    "",
    VLOOKUP($A197,祝日!$A:$C,3,FALSE)
  ),
  ""
)</f>
        <v/>
      </c>
    </row>
    <row r="198" spans="1:4" ht="15.75" x14ac:dyDescent="0.25">
      <c r="A198" s="35">
        <v>44027</v>
      </c>
      <c r="B198" s="60">
        <f>IF(OR(5&lt;WEEKDAY(A198,2),0&lt;COUNTIF(祝日!A:A,A198)),0,8)</f>
        <v>8</v>
      </c>
      <c r="C198" s="36" t="str">
        <f>IFERROR(
  IF(
    VLOOKUP($A198,祝日!$A:$C,2,FALSE)="",
    "",
    VLOOKUP($A198,祝日!$A:$C,2,FALSE)
  ),
  ""
)</f>
        <v/>
      </c>
      <c r="D198" s="36" t="str">
        <f>IFERROR(
  IF(
    VLOOKUP($A198,祝日!$A:$C,3,FALSE)="",
    "",
    VLOOKUP($A198,祝日!$A:$C,3,FALSE)
  ),
  ""
)</f>
        <v/>
      </c>
    </row>
    <row r="199" spans="1:4" ht="15.75" x14ac:dyDescent="0.25">
      <c r="A199" s="35">
        <v>44028</v>
      </c>
      <c r="B199" s="60">
        <f>IF(OR(5&lt;WEEKDAY(A199,2),0&lt;COUNTIF(祝日!A:A,A199)),0,8)</f>
        <v>8</v>
      </c>
      <c r="C199" s="36" t="str">
        <f>IFERROR(
  IF(
    VLOOKUP($A199,祝日!$A:$C,2,FALSE)="",
    "",
    VLOOKUP($A199,祝日!$A:$C,2,FALSE)
  ),
  ""
)</f>
        <v/>
      </c>
      <c r="D199" s="36" t="str">
        <f>IFERROR(
  IF(
    VLOOKUP($A199,祝日!$A:$C,3,FALSE)="",
    "",
    VLOOKUP($A199,祝日!$A:$C,3,FALSE)
  ),
  ""
)</f>
        <v/>
      </c>
    </row>
    <row r="200" spans="1:4" ht="15.75" x14ac:dyDescent="0.25">
      <c r="A200" s="35">
        <v>44029</v>
      </c>
      <c r="B200" s="60">
        <f>IF(OR(5&lt;WEEKDAY(A200,2),0&lt;COUNTIF(祝日!A:A,A200)),0,8)</f>
        <v>8</v>
      </c>
      <c r="C200" s="36" t="str">
        <f>IFERROR(
  IF(
    VLOOKUP($A200,祝日!$A:$C,2,FALSE)="",
    "",
    VLOOKUP($A200,祝日!$A:$C,2,FALSE)
  ),
  ""
)</f>
        <v/>
      </c>
      <c r="D200" s="36" t="str">
        <f>IFERROR(
  IF(
    VLOOKUP($A200,祝日!$A:$C,3,FALSE)="",
    "",
    VLOOKUP($A200,祝日!$A:$C,3,FALSE)
  ),
  ""
)</f>
        <v/>
      </c>
    </row>
    <row r="201" spans="1:4" ht="15.75" x14ac:dyDescent="0.25">
      <c r="A201" s="35">
        <v>44030</v>
      </c>
      <c r="B201" s="60">
        <f>IF(OR(5&lt;WEEKDAY(A201,2),0&lt;COUNTIF(祝日!A:A,A201)),0,8)</f>
        <v>0</v>
      </c>
      <c r="C201" s="36" t="str">
        <f>IFERROR(
  IF(
    VLOOKUP($A201,祝日!$A:$C,2,FALSE)="",
    "",
    VLOOKUP($A201,祝日!$A:$C,2,FALSE)
  ),
  ""
)</f>
        <v/>
      </c>
      <c r="D201" s="36" t="str">
        <f>IFERROR(
  IF(
    VLOOKUP($A201,祝日!$A:$C,3,FALSE)="",
    "",
    VLOOKUP($A201,祝日!$A:$C,3,FALSE)
  ),
  ""
)</f>
        <v/>
      </c>
    </row>
    <row r="202" spans="1:4" ht="15.75" x14ac:dyDescent="0.25">
      <c r="A202" s="35">
        <v>44031</v>
      </c>
      <c r="B202" s="60">
        <f>IF(OR(5&lt;WEEKDAY(A202,2),0&lt;COUNTIF(祝日!A:A,A202)),0,8)</f>
        <v>0</v>
      </c>
      <c r="C202" s="36" t="str">
        <f>IFERROR(
  IF(
    VLOOKUP($A202,祝日!$A:$C,2,FALSE)="",
    "",
    VLOOKUP($A202,祝日!$A:$C,2,FALSE)
  ),
  ""
)</f>
        <v/>
      </c>
      <c r="D202" s="36" t="str">
        <f>IFERROR(
  IF(
    VLOOKUP($A202,祝日!$A:$C,3,FALSE)="",
    "",
    VLOOKUP($A202,祝日!$A:$C,3,FALSE)
  ),
  ""
)</f>
        <v/>
      </c>
    </row>
    <row r="203" spans="1:4" ht="15.75" x14ac:dyDescent="0.25">
      <c r="A203" s="35">
        <v>44032</v>
      </c>
      <c r="B203" s="60">
        <f>IF(OR(5&lt;WEEKDAY(A203,2),0&lt;COUNTIF(祝日!A:A,A203)),0,8)</f>
        <v>8</v>
      </c>
      <c r="C203" s="36" t="str">
        <f>IFERROR(
  IF(
    VLOOKUP($A203,祝日!$A:$C,2,FALSE)="",
    "",
    VLOOKUP($A203,祝日!$A:$C,2,FALSE)
  ),
  ""
)</f>
        <v/>
      </c>
      <c r="D203" s="36" t="str">
        <f>IFERROR(
  IF(
    VLOOKUP($A203,祝日!$A:$C,3,FALSE)="",
    "",
    VLOOKUP($A203,祝日!$A:$C,3,FALSE)
  ),
  ""
)</f>
        <v/>
      </c>
    </row>
    <row r="204" spans="1:4" ht="15.75" x14ac:dyDescent="0.25">
      <c r="A204" s="35">
        <v>44033</v>
      </c>
      <c r="B204" s="60">
        <f>IF(OR(5&lt;WEEKDAY(A204,2),0&lt;COUNTIF(祝日!A:A,A204)),0,8)</f>
        <v>8</v>
      </c>
      <c r="C204" s="36" t="str">
        <f>IFERROR(
  IF(
    VLOOKUP($A204,祝日!$A:$C,2,FALSE)="",
    "",
    VLOOKUP($A204,祝日!$A:$C,2,FALSE)
  ),
  ""
)</f>
        <v/>
      </c>
      <c r="D204" s="36" t="str">
        <f>IFERROR(
  IF(
    VLOOKUP($A204,祝日!$A:$C,3,FALSE)="",
    "",
    VLOOKUP($A204,祝日!$A:$C,3,FALSE)
  ),
  ""
)</f>
        <v/>
      </c>
    </row>
    <row r="205" spans="1:4" ht="15.75" x14ac:dyDescent="0.25">
      <c r="A205" s="35">
        <v>44034</v>
      </c>
      <c r="B205" s="60">
        <f>IF(OR(5&lt;WEEKDAY(A205,2),0&lt;COUNTIF(祝日!A:A,A205)),0,8)</f>
        <v>8</v>
      </c>
      <c r="C205" s="36" t="str">
        <f>IFERROR(
  IF(
    VLOOKUP($A205,祝日!$A:$C,2,FALSE)="",
    "",
    VLOOKUP($A205,祝日!$A:$C,2,FALSE)
  ),
  ""
)</f>
        <v/>
      </c>
      <c r="D205" s="36" t="str">
        <f>IFERROR(
  IF(
    VLOOKUP($A205,祝日!$A:$C,3,FALSE)="",
    "",
    VLOOKUP($A205,祝日!$A:$C,3,FALSE)
  ),
  ""
)</f>
        <v/>
      </c>
    </row>
    <row r="206" spans="1:4" ht="15.75" x14ac:dyDescent="0.25">
      <c r="A206" s="35">
        <v>44035</v>
      </c>
      <c r="B206" s="60">
        <f>IF(OR(5&lt;WEEKDAY(A206,2),0&lt;COUNTIF(祝日!A:A,A206)),0,8)</f>
        <v>0</v>
      </c>
      <c r="C206" s="36" t="str">
        <f>IFERROR(
  IF(
    VLOOKUP($A206,祝日!$A:$C,2,FALSE)="",
    "",
    VLOOKUP($A206,祝日!$A:$C,2,FALSE)
  ),
  ""
)</f>
        <v xml:space="preserve">海の日 </v>
      </c>
      <c r="D206" s="36" t="str">
        <f>IFERROR(
  IF(
    VLOOKUP($A206,祝日!$A:$C,3,FALSE)="",
    "",
    VLOOKUP($A206,祝日!$A:$C,3,FALSE)
  ),
  ""
)</f>
        <v>2020年に限り移動</v>
      </c>
    </row>
    <row r="207" spans="1:4" ht="15.75" x14ac:dyDescent="0.25">
      <c r="A207" s="35">
        <v>44036</v>
      </c>
      <c r="B207" s="60">
        <f>IF(OR(5&lt;WEEKDAY(A207,2),0&lt;COUNTIF(祝日!A:A,A207)),0,8)</f>
        <v>0</v>
      </c>
      <c r="C207" s="36" t="str">
        <f>IFERROR(
  IF(
    VLOOKUP($A207,祝日!$A:$C,2,FALSE)="",
    "",
    VLOOKUP($A207,祝日!$A:$C,2,FALSE)
  ),
  ""
)</f>
        <v xml:space="preserve">スポーツの日 </v>
      </c>
      <c r="D207" s="36" t="str">
        <f>IFERROR(
  IF(
    VLOOKUP($A207,祝日!$A:$C,3,FALSE)="",
    "",
    VLOOKUP($A207,祝日!$A:$C,3,FALSE)
  ),
  ""
)</f>
        <v>2020年に限り移動</v>
      </c>
    </row>
    <row r="208" spans="1:4" ht="15.75" x14ac:dyDescent="0.25">
      <c r="A208" s="35">
        <v>44037</v>
      </c>
      <c r="B208" s="60">
        <f>IF(OR(5&lt;WEEKDAY(A208,2),0&lt;COUNTIF(祝日!A:A,A208)),0,8)</f>
        <v>0</v>
      </c>
      <c r="C208" s="36" t="str">
        <f>IFERROR(
  IF(
    VLOOKUP($A208,祝日!$A:$C,2,FALSE)="",
    "",
    VLOOKUP($A208,祝日!$A:$C,2,FALSE)
  ),
  ""
)</f>
        <v/>
      </c>
      <c r="D208" s="36" t="str">
        <f>IFERROR(
  IF(
    VLOOKUP($A208,祝日!$A:$C,3,FALSE)="",
    "",
    VLOOKUP($A208,祝日!$A:$C,3,FALSE)
  ),
  ""
)</f>
        <v/>
      </c>
    </row>
    <row r="209" spans="1:4" ht="15.75" x14ac:dyDescent="0.25">
      <c r="A209" s="35">
        <v>44038</v>
      </c>
      <c r="B209" s="60">
        <f>IF(OR(5&lt;WEEKDAY(A209,2),0&lt;COUNTIF(祝日!A:A,A209)),0,8)</f>
        <v>0</v>
      </c>
      <c r="C209" s="36" t="str">
        <f>IFERROR(
  IF(
    VLOOKUP($A209,祝日!$A:$C,2,FALSE)="",
    "",
    VLOOKUP($A209,祝日!$A:$C,2,FALSE)
  ),
  ""
)</f>
        <v/>
      </c>
      <c r="D209" s="36" t="str">
        <f>IFERROR(
  IF(
    VLOOKUP($A209,祝日!$A:$C,3,FALSE)="",
    "",
    VLOOKUP($A209,祝日!$A:$C,3,FALSE)
  ),
  ""
)</f>
        <v/>
      </c>
    </row>
    <row r="210" spans="1:4" ht="15.75" x14ac:dyDescent="0.25">
      <c r="A210" s="35">
        <v>44039</v>
      </c>
      <c r="B210" s="60">
        <f>IF(OR(5&lt;WEEKDAY(A210,2),0&lt;COUNTIF(祝日!A:A,A210)),0,8)</f>
        <v>8</v>
      </c>
      <c r="C210" s="36" t="str">
        <f>IFERROR(
  IF(
    VLOOKUP($A210,祝日!$A:$C,2,FALSE)="",
    "",
    VLOOKUP($A210,祝日!$A:$C,2,FALSE)
  ),
  ""
)</f>
        <v/>
      </c>
      <c r="D210" s="36" t="str">
        <f>IFERROR(
  IF(
    VLOOKUP($A210,祝日!$A:$C,3,FALSE)="",
    "",
    VLOOKUP($A210,祝日!$A:$C,3,FALSE)
  ),
  ""
)</f>
        <v/>
      </c>
    </row>
    <row r="211" spans="1:4" ht="15.75" x14ac:dyDescent="0.25">
      <c r="A211" s="35">
        <v>44040</v>
      </c>
      <c r="B211" s="60">
        <f>IF(OR(5&lt;WEEKDAY(A211,2),0&lt;COUNTIF(祝日!A:A,A211)),0,8)</f>
        <v>8</v>
      </c>
      <c r="C211" s="36" t="str">
        <f>IFERROR(
  IF(
    VLOOKUP($A211,祝日!$A:$C,2,FALSE)="",
    "",
    VLOOKUP($A211,祝日!$A:$C,2,FALSE)
  ),
  ""
)</f>
        <v/>
      </c>
      <c r="D211" s="36" t="str">
        <f>IFERROR(
  IF(
    VLOOKUP($A211,祝日!$A:$C,3,FALSE)="",
    "",
    VLOOKUP($A211,祝日!$A:$C,3,FALSE)
  ),
  ""
)</f>
        <v/>
      </c>
    </row>
    <row r="212" spans="1:4" ht="15.75" x14ac:dyDescent="0.25">
      <c r="A212" s="35">
        <v>44041</v>
      </c>
      <c r="B212" s="60">
        <f>IF(OR(5&lt;WEEKDAY(A212,2),0&lt;COUNTIF(祝日!A:A,A212)),0,8)</f>
        <v>8</v>
      </c>
      <c r="C212" s="36" t="str">
        <f>IFERROR(
  IF(
    VLOOKUP($A212,祝日!$A:$C,2,FALSE)="",
    "",
    VLOOKUP($A212,祝日!$A:$C,2,FALSE)
  ),
  ""
)</f>
        <v/>
      </c>
      <c r="D212" s="36" t="str">
        <f>IFERROR(
  IF(
    VLOOKUP($A212,祝日!$A:$C,3,FALSE)="",
    "",
    VLOOKUP($A212,祝日!$A:$C,3,FALSE)
  ),
  ""
)</f>
        <v/>
      </c>
    </row>
    <row r="213" spans="1:4" ht="15.75" x14ac:dyDescent="0.25">
      <c r="A213" s="35">
        <v>44042</v>
      </c>
      <c r="B213" s="60">
        <f>IF(OR(5&lt;WEEKDAY(A213,2),0&lt;COUNTIF(祝日!A:A,A213)),0,8)</f>
        <v>8</v>
      </c>
      <c r="C213" s="36" t="str">
        <f>IFERROR(
  IF(
    VLOOKUP($A213,祝日!$A:$C,2,FALSE)="",
    "",
    VLOOKUP($A213,祝日!$A:$C,2,FALSE)
  ),
  ""
)</f>
        <v/>
      </c>
      <c r="D213" s="36" t="str">
        <f>IFERROR(
  IF(
    VLOOKUP($A213,祝日!$A:$C,3,FALSE)="",
    "",
    VLOOKUP($A213,祝日!$A:$C,3,FALSE)
  ),
  ""
)</f>
        <v/>
      </c>
    </row>
    <row r="214" spans="1:4" ht="15.75" x14ac:dyDescent="0.25">
      <c r="A214" s="35">
        <v>44043</v>
      </c>
      <c r="B214" s="60">
        <f>IF(OR(5&lt;WEEKDAY(A214,2),0&lt;COUNTIF(祝日!A:A,A214)),0,8)</f>
        <v>8</v>
      </c>
      <c r="C214" s="36" t="str">
        <f>IFERROR(
  IF(
    VLOOKUP($A214,祝日!$A:$C,2,FALSE)="",
    "",
    VLOOKUP($A214,祝日!$A:$C,2,FALSE)
  ),
  ""
)</f>
        <v/>
      </c>
      <c r="D214" s="36" t="str">
        <f>IFERROR(
  IF(
    VLOOKUP($A214,祝日!$A:$C,3,FALSE)="",
    "",
    VLOOKUP($A214,祝日!$A:$C,3,FALSE)
  ),
  ""
)</f>
        <v/>
      </c>
    </row>
    <row r="215" spans="1:4" ht="15.75" x14ac:dyDescent="0.25">
      <c r="A215" s="35">
        <v>44044</v>
      </c>
      <c r="B215" s="60">
        <f>IF(OR(5&lt;WEEKDAY(A215,2),0&lt;COUNTIF(祝日!A:A,A215)),0,8)</f>
        <v>0</v>
      </c>
      <c r="C215" s="36" t="str">
        <f>IFERROR(
  IF(
    VLOOKUP($A215,祝日!$A:$C,2,FALSE)="",
    "",
    VLOOKUP($A215,祝日!$A:$C,2,FALSE)
  ),
  ""
)</f>
        <v/>
      </c>
      <c r="D215" s="36" t="str">
        <f>IFERROR(
  IF(
    VLOOKUP($A215,祝日!$A:$C,3,FALSE)="",
    "",
    VLOOKUP($A215,祝日!$A:$C,3,FALSE)
  ),
  ""
)</f>
        <v/>
      </c>
    </row>
    <row r="216" spans="1:4" ht="15.75" x14ac:dyDescent="0.25">
      <c r="A216" s="35">
        <v>44045</v>
      </c>
      <c r="B216" s="60">
        <f>IF(OR(5&lt;WEEKDAY(A216,2),0&lt;COUNTIF(祝日!A:A,A216)),0,8)</f>
        <v>0</v>
      </c>
      <c r="C216" s="36" t="str">
        <f>IFERROR(
  IF(
    VLOOKUP($A216,祝日!$A:$C,2,FALSE)="",
    "",
    VLOOKUP($A216,祝日!$A:$C,2,FALSE)
  ),
  ""
)</f>
        <v/>
      </c>
      <c r="D216" s="36" t="str">
        <f>IFERROR(
  IF(
    VLOOKUP($A216,祝日!$A:$C,3,FALSE)="",
    "",
    VLOOKUP($A216,祝日!$A:$C,3,FALSE)
  ),
  ""
)</f>
        <v/>
      </c>
    </row>
    <row r="217" spans="1:4" ht="15.75" x14ac:dyDescent="0.25">
      <c r="A217" s="35">
        <v>44046</v>
      </c>
      <c r="B217" s="60">
        <f>IF(OR(5&lt;WEEKDAY(A217,2),0&lt;COUNTIF(祝日!A:A,A217)),0,8)</f>
        <v>8</v>
      </c>
      <c r="C217" s="36" t="str">
        <f>IFERROR(
  IF(
    VLOOKUP($A217,祝日!$A:$C,2,FALSE)="",
    "",
    VLOOKUP($A217,祝日!$A:$C,2,FALSE)
  ),
  ""
)</f>
        <v/>
      </c>
      <c r="D217" s="36" t="str">
        <f>IFERROR(
  IF(
    VLOOKUP($A217,祝日!$A:$C,3,FALSE)="",
    "",
    VLOOKUP($A217,祝日!$A:$C,3,FALSE)
  ),
  ""
)</f>
        <v/>
      </c>
    </row>
    <row r="218" spans="1:4" ht="15.75" x14ac:dyDescent="0.25">
      <c r="A218" s="35">
        <v>44047</v>
      </c>
      <c r="B218" s="60">
        <f>IF(OR(5&lt;WEEKDAY(A218,2),0&lt;COUNTIF(祝日!A:A,A218)),0,8)</f>
        <v>8</v>
      </c>
      <c r="C218" s="36" t="str">
        <f>IFERROR(
  IF(
    VLOOKUP($A218,祝日!$A:$C,2,FALSE)="",
    "",
    VLOOKUP($A218,祝日!$A:$C,2,FALSE)
  ),
  ""
)</f>
        <v/>
      </c>
      <c r="D218" s="36" t="str">
        <f>IFERROR(
  IF(
    VLOOKUP($A218,祝日!$A:$C,3,FALSE)="",
    "",
    VLOOKUP($A218,祝日!$A:$C,3,FALSE)
  ),
  ""
)</f>
        <v/>
      </c>
    </row>
    <row r="219" spans="1:4" ht="15.75" x14ac:dyDescent="0.25">
      <c r="A219" s="35">
        <v>44048</v>
      </c>
      <c r="B219" s="60">
        <f>IF(OR(5&lt;WEEKDAY(A219,2),0&lt;COUNTIF(祝日!A:A,A219)),0,8)</f>
        <v>8</v>
      </c>
      <c r="C219" s="36" t="str">
        <f>IFERROR(
  IF(
    VLOOKUP($A219,祝日!$A:$C,2,FALSE)="",
    "",
    VLOOKUP($A219,祝日!$A:$C,2,FALSE)
  ),
  ""
)</f>
        <v/>
      </c>
      <c r="D219" s="36" t="str">
        <f>IFERROR(
  IF(
    VLOOKUP($A219,祝日!$A:$C,3,FALSE)="",
    "",
    VLOOKUP($A219,祝日!$A:$C,3,FALSE)
  ),
  ""
)</f>
        <v/>
      </c>
    </row>
    <row r="220" spans="1:4" ht="15.75" x14ac:dyDescent="0.25">
      <c r="A220" s="35">
        <v>44049</v>
      </c>
      <c r="B220" s="60">
        <f>IF(OR(5&lt;WEEKDAY(A220,2),0&lt;COUNTIF(祝日!A:A,A220)),0,8)</f>
        <v>8</v>
      </c>
      <c r="C220" s="36" t="str">
        <f>IFERROR(
  IF(
    VLOOKUP($A220,祝日!$A:$C,2,FALSE)="",
    "",
    VLOOKUP($A220,祝日!$A:$C,2,FALSE)
  ),
  ""
)</f>
        <v/>
      </c>
      <c r="D220" s="36" t="str">
        <f>IFERROR(
  IF(
    VLOOKUP($A220,祝日!$A:$C,3,FALSE)="",
    "",
    VLOOKUP($A220,祝日!$A:$C,3,FALSE)
  ),
  ""
)</f>
        <v/>
      </c>
    </row>
    <row r="221" spans="1:4" ht="15.75" x14ac:dyDescent="0.25">
      <c r="A221" s="35">
        <v>44050</v>
      </c>
      <c r="B221" s="60">
        <f>IF(OR(5&lt;WEEKDAY(A221,2),0&lt;COUNTIF(祝日!A:A,A221)),0,8)</f>
        <v>8</v>
      </c>
      <c r="C221" s="36" t="str">
        <f>IFERROR(
  IF(
    VLOOKUP($A221,祝日!$A:$C,2,FALSE)="",
    "",
    VLOOKUP($A221,祝日!$A:$C,2,FALSE)
  ),
  ""
)</f>
        <v/>
      </c>
      <c r="D221" s="36" t="str">
        <f>IFERROR(
  IF(
    VLOOKUP($A221,祝日!$A:$C,3,FALSE)="",
    "",
    VLOOKUP($A221,祝日!$A:$C,3,FALSE)
  ),
  ""
)</f>
        <v/>
      </c>
    </row>
    <row r="222" spans="1:4" ht="15.75" x14ac:dyDescent="0.25">
      <c r="A222" s="35">
        <v>44051</v>
      </c>
      <c r="B222" s="60">
        <f>IF(OR(5&lt;WEEKDAY(A222,2),0&lt;COUNTIF(祝日!A:A,A222)),0,8)</f>
        <v>0</v>
      </c>
      <c r="C222" s="36" t="str">
        <f>IFERROR(
  IF(
    VLOOKUP($A222,祝日!$A:$C,2,FALSE)="",
    "",
    VLOOKUP($A222,祝日!$A:$C,2,FALSE)
  ),
  ""
)</f>
        <v/>
      </c>
      <c r="D222" s="36" t="str">
        <f>IFERROR(
  IF(
    VLOOKUP($A222,祝日!$A:$C,3,FALSE)="",
    "",
    VLOOKUP($A222,祝日!$A:$C,3,FALSE)
  ),
  ""
)</f>
        <v/>
      </c>
    </row>
    <row r="223" spans="1:4" ht="15.75" x14ac:dyDescent="0.25">
      <c r="A223" s="35">
        <v>44052</v>
      </c>
      <c r="B223" s="60">
        <f>IF(OR(5&lt;WEEKDAY(A223,2),0&lt;COUNTIF(祝日!A:A,A223)),0,8)</f>
        <v>0</v>
      </c>
      <c r="C223" s="36" t="str">
        <f>IFERROR(
  IF(
    VLOOKUP($A223,祝日!$A:$C,2,FALSE)="",
    "",
    VLOOKUP($A223,祝日!$A:$C,2,FALSE)
  ),
  ""
)</f>
        <v/>
      </c>
      <c r="D223" s="36" t="str">
        <f>IFERROR(
  IF(
    VLOOKUP($A223,祝日!$A:$C,3,FALSE)="",
    "",
    VLOOKUP($A223,祝日!$A:$C,3,FALSE)
  ),
  ""
)</f>
        <v/>
      </c>
    </row>
    <row r="224" spans="1:4" ht="15.75" x14ac:dyDescent="0.25">
      <c r="A224" s="35">
        <v>44053</v>
      </c>
      <c r="B224" s="60">
        <f>IF(OR(5&lt;WEEKDAY(A224,2),0&lt;COUNTIF(祝日!A:A,A224)),0,8)</f>
        <v>0</v>
      </c>
      <c r="C224" s="36" t="str">
        <f>IFERROR(
  IF(
    VLOOKUP($A224,祝日!$A:$C,2,FALSE)="",
    "",
    VLOOKUP($A224,祝日!$A:$C,2,FALSE)
  ),
  ""
)</f>
        <v xml:space="preserve">山の日 </v>
      </c>
      <c r="D224" s="36" t="str">
        <f>IFERROR(
  IF(
    VLOOKUP($A224,祝日!$A:$C,3,FALSE)="",
    "",
    VLOOKUP($A224,祝日!$A:$C,3,FALSE)
  ),
  ""
)</f>
        <v>2020年に限り移動</v>
      </c>
    </row>
    <row r="225" spans="1:4" ht="15.75" x14ac:dyDescent="0.25">
      <c r="A225" s="35">
        <v>44054</v>
      </c>
      <c r="B225" s="60">
        <f>IF(OR(5&lt;WEEKDAY(A225,2),0&lt;COUNTIF(祝日!A:A,A225)),0,8)</f>
        <v>8</v>
      </c>
      <c r="C225" s="36" t="str">
        <f>IFERROR(
  IF(
    VLOOKUP($A225,祝日!$A:$C,2,FALSE)="",
    "",
    VLOOKUP($A225,祝日!$A:$C,2,FALSE)
  ),
  ""
)</f>
        <v/>
      </c>
      <c r="D225" s="36" t="str">
        <f>IFERROR(
  IF(
    VLOOKUP($A225,祝日!$A:$C,3,FALSE)="",
    "",
    VLOOKUP($A225,祝日!$A:$C,3,FALSE)
  ),
  ""
)</f>
        <v/>
      </c>
    </row>
    <row r="226" spans="1:4" ht="15.75" x14ac:dyDescent="0.25">
      <c r="A226" s="35">
        <v>44055</v>
      </c>
      <c r="B226" s="60">
        <f>IF(OR(5&lt;WEEKDAY(A226,2),0&lt;COUNTIF(祝日!A:A,A226)),0,8)</f>
        <v>8</v>
      </c>
      <c r="C226" s="36" t="str">
        <f>IFERROR(
  IF(
    VLOOKUP($A226,祝日!$A:$C,2,FALSE)="",
    "",
    VLOOKUP($A226,祝日!$A:$C,2,FALSE)
  ),
  ""
)</f>
        <v/>
      </c>
      <c r="D226" s="36" t="str">
        <f>IFERROR(
  IF(
    VLOOKUP($A226,祝日!$A:$C,3,FALSE)="",
    "",
    VLOOKUP($A226,祝日!$A:$C,3,FALSE)
  ),
  ""
)</f>
        <v/>
      </c>
    </row>
    <row r="227" spans="1:4" ht="15.75" x14ac:dyDescent="0.25">
      <c r="A227" s="35">
        <v>44056</v>
      </c>
      <c r="B227" s="60">
        <f>IF(OR(5&lt;WEEKDAY(A227,2),0&lt;COUNTIF(祝日!A:A,A227)),0,8)</f>
        <v>8</v>
      </c>
      <c r="C227" s="36" t="str">
        <f>IFERROR(
  IF(
    VLOOKUP($A227,祝日!$A:$C,2,FALSE)="",
    "",
    VLOOKUP($A227,祝日!$A:$C,2,FALSE)
  ),
  ""
)</f>
        <v/>
      </c>
      <c r="D227" s="36" t="str">
        <f>IFERROR(
  IF(
    VLOOKUP($A227,祝日!$A:$C,3,FALSE)="",
    "",
    VLOOKUP($A227,祝日!$A:$C,3,FALSE)
  ),
  ""
)</f>
        <v/>
      </c>
    </row>
    <row r="228" spans="1:4" ht="15.75" x14ac:dyDescent="0.25">
      <c r="A228" s="35">
        <v>44057</v>
      </c>
      <c r="B228" s="60">
        <f>IF(OR(5&lt;WEEKDAY(A228,2),0&lt;COUNTIF(祝日!A:A,A228)),0,8)</f>
        <v>8</v>
      </c>
      <c r="C228" s="36" t="str">
        <f>IFERROR(
  IF(
    VLOOKUP($A228,祝日!$A:$C,2,FALSE)="",
    "",
    VLOOKUP($A228,祝日!$A:$C,2,FALSE)
  ),
  ""
)</f>
        <v/>
      </c>
      <c r="D228" s="36" t="str">
        <f>IFERROR(
  IF(
    VLOOKUP($A228,祝日!$A:$C,3,FALSE)="",
    "",
    VLOOKUP($A228,祝日!$A:$C,3,FALSE)
  ),
  ""
)</f>
        <v/>
      </c>
    </row>
    <row r="229" spans="1:4" ht="15.75" x14ac:dyDescent="0.25">
      <c r="A229" s="35">
        <v>44058</v>
      </c>
      <c r="B229" s="60">
        <f>IF(OR(5&lt;WEEKDAY(A229,2),0&lt;COUNTIF(祝日!A:A,A229)),0,8)</f>
        <v>0</v>
      </c>
      <c r="C229" s="36" t="str">
        <f>IFERROR(
  IF(
    VLOOKUP($A229,祝日!$A:$C,2,FALSE)="",
    "",
    VLOOKUP($A229,祝日!$A:$C,2,FALSE)
  ),
  ""
)</f>
        <v/>
      </c>
      <c r="D229" s="36" t="str">
        <f>IFERROR(
  IF(
    VLOOKUP($A229,祝日!$A:$C,3,FALSE)="",
    "",
    VLOOKUP($A229,祝日!$A:$C,3,FALSE)
  ),
  ""
)</f>
        <v/>
      </c>
    </row>
    <row r="230" spans="1:4" ht="15.75" x14ac:dyDescent="0.25">
      <c r="A230" s="35">
        <v>44059</v>
      </c>
      <c r="B230" s="60">
        <f>IF(OR(5&lt;WEEKDAY(A230,2),0&lt;COUNTIF(祝日!A:A,A230)),0,8)</f>
        <v>0</v>
      </c>
      <c r="C230" s="36" t="str">
        <f>IFERROR(
  IF(
    VLOOKUP($A230,祝日!$A:$C,2,FALSE)="",
    "",
    VLOOKUP($A230,祝日!$A:$C,2,FALSE)
  ),
  ""
)</f>
        <v/>
      </c>
      <c r="D230" s="36" t="str">
        <f>IFERROR(
  IF(
    VLOOKUP($A230,祝日!$A:$C,3,FALSE)="",
    "",
    VLOOKUP($A230,祝日!$A:$C,3,FALSE)
  ),
  ""
)</f>
        <v/>
      </c>
    </row>
    <row r="231" spans="1:4" ht="15.75" x14ac:dyDescent="0.25">
      <c r="A231" s="35">
        <v>44060</v>
      </c>
      <c r="B231" s="60">
        <f>IF(OR(5&lt;WEEKDAY(A231,2),0&lt;COUNTIF(祝日!A:A,A231)),0,8)</f>
        <v>8</v>
      </c>
      <c r="C231" s="36" t="str">
        <f>IFERROR(
  IF(
    VLOOKUP($A231,祝日!$A:$C,2,FALSE)="",
    "",
    VLOOKUP($A231,祝日!$A:$C,2,FALSE)
  ),
  ""
)</f>
        <v/>
      </c>
      <c r="D231" s="36" t="str">
        <f>IFERROR(
  IF(
    VLOOKUP($A231,祝日!$A:$C,3,FALSE)="",
    "",
    VLOOKUP($A231,祝日!$A:$C,3,FALSE)
  ),
  ""
)</f>
        <v/>
      </c>
    </row>
    <row r="232" spans="1:4" ht="15.75" x14ac:dyDescent="0.25">
      <c r="A232" s="35">
        <v>44061</v>
      </c>
      <c r="B232" s="60">
        <f>IF(OR(5&lt;WEEKDAY(A232,2),0&lt;COUNTIF(祝日!A:A,A232)),0,8)</f>
        <v>8</v>
      </c>
      <c r="C232" s="36" t="str">
        <f>IFERROR(
  IF(
    VLOOKUP($A232,祝日!$A:$C,2,FALSE)="",
    "",
    VLOOKUP($A232,祝日!$A:$C,2,FALSE)
  ),
  ""
)</f>
        <v/>
      </c>
      <c r="D232" s="36" t="str">
        <f>IFERROR(
  IF(
    VLOOKUP($A232,祝日!$A:$C,3,FALSE)="",
    "",
    VLOOKUP($A232,祝日!$A:$C,3,FALSE)
  ),
  ""
)</f>
        <v/>
      </c>
    </row>
    <row r="233" spans="1:4" ht="15.75" x14ac:dyDescent="0.25">
      <c r="A233" s="35">
        <v>44062</v>
      </c>
      <c r="B233" s="60">
        <f>IF(OR(5&lt;WEEKDAY(A233,2),0&lt;COUNTIF(祝日!A:A,A233)),0,8)</f>
        <v>8</v>
      </c>
      <c r="C233" s="36" t="str">
        <f>IFERROR(
  IF(
    VLOOKUP($A233,祝日!$A:$C,2,FALSE)="",
    "",
    VLOOKUP($A233,祝日!$A:$C,2,FALSE)
  ),
  ""
)</f>
        <v/>
      </c>
      <c r="D233" s="36" t="str">
        <f>IFERROR(
  IF(
    VLOOKUP($A233,祝日!$A:$C,3,FALSE)="",
    "",
    VLOOKUP($A233,祝日!$A:$C,3,FALSE)
  ),
  ""
)</f>
        <v/>
      </c>
    </row>
    <row r="234" spans="1:4" ht="15.75" x14ac:dyDescent="0.25">
      <c r="A234" s="35">
        <v>44063</v>
      </c>
      <c r="B234" s="60">
        <f>IF(OR(5&lt;WEEKDAY(A234,2),0&lt;COUNTIF(祝日!A:A,A234)),0,8)</f>
        <v>8</v>
      </c>
      <c r="C234" s="36" t="str">
        <f>IFERROR(
  IF(
    VLOOKUP($A234,祝日!$A:$C,2,FALSE)="",
    "",
    VLOOKUP($A234,祝日!$A:$C,2,FALSE)
  ),
  ""
)</f>
        <v/>
      </c>
      <c r="D234" s="36" t="str">
        <f>IFERROR(
  IF(
    VLOOKUP($A234,祝日!$A:$C,3,FALSE)="",
    "",
    VLOOKUP($A234,祝日!$A:$C,3,FALSE)
  ),
  ""
)</f>
        <v/>
      </c>
    </row>
    <row r="235" spans="1:4" ht="15.75" x14ac:dyDescent="0.25">
      <c r="A235" s="35">
        <v>44064</v>
      </c>
      <c r="B235" s="60">
        <f>IF(OR(5&lt;WEEKDAY(A235,2),0&lt;COUNTIF(祝日!A:A,A235)),0,8)</f>
        <v>8</v>
      </c>
      <c r="C235" s="36" t="str">
        <f>IFERROR(
  IF(
    VLOOKUP($A235,祝日!$A:$C,2,FALSE)="",
    "",
    VLOOKUP($A235,祝日!$A:$C,2,FALSE)
  ),
  ""
)</f>
        <v/>
      </c>
      <c r="D235" s="36" t="str">
        <f>IFERROR(
  IF(
    VLOOKUP($A235,祝日!$A:$C,3,FALSE)="",
    "",
    VLOOKUP($A235,祝日!$A:$C,3,FALSE)
  ),
  ""
)</f>
        <v/>
      </c>
    </row>
    <row r="236" spans="1:4" ht="15.75" x14ac:dyDescent="0.25">
      <c r="A236" s="35">
        <v>44065</v>
      </c>
      <c r="B236" s="60">
        <f>IF(OR(5&lt;WEEKDAY(A236,2),0&lt;COUNTIF(祝日!A:A,A236)),0,8)</f>
        <v>0</v>
      </c>
      <c r="C236" s="36" t="str">
        <f>IFERROR(
  IF(
    VLOOKUP($A236,祝日!$A:$C,2,FALSE)="",
    "",
    VLOOKUP($A236,祝日!$A:$C,2,FALSE)
  ),
  ""
)</f>
        <v/>
      </c>
      <c r="D236" s="36" t="str">
        <f>IFERROR(
  IF(
    VLOOKUP($A236,祝日!$A:$C,3,FALSE)="",
    "",
    VLOOKUP($A236,祝日!$A:$C,3,FALSE)
  ),
  ""
)</f>
        <v/>
      </c>
    </row>
    <row r="237" spans="1:4" ht="15.75" x14ac:dyDescent="0.25">
      <c r="A237" s="35">
        <v>44066</v>
      </c>
      <c r="B237" s="60">
        <f>IF(OR(5&lt;WEEKDAY(A237,2),0&lt;COUNTIF(祝日!A:A,A237)),0,8)</f>
        <v>0</v>
      </c>
      <c r="C237" s="36" t="str">
        <f>IFERROR(
  IF(
    VLOOKUP($A237,祝日!$A:$C,2,FALSE)="",
    "",
    VLOOKUP($A237,祝日!$A:$C,2,FALSE)
  ),
  ""
)</f>
        <v/>
      </c>
      <c r="D237" s="36" t="str">
        <f>IFERROR(
  IF(
    VLOOKUP($A237,祝日!$A:$C,3,FALSE)="",
    "",
    VLOOKUP($A237,祝日!$A:$C,3,FALSE)
  ),
  ""
)</f>
        <v/>
      </c>
    </row>
    <row r="238" spans="1:4" ht="15.75" x14ac:dyDescent="0.25">
      <c r="A238" s="35">
        <v>44067</v>
      </c>
      <c r="B238" s="60">
        <f>IF(OR(5&lt;WEEKDAY(A238,2),0&lt;COUNTIF(祝日!A:A,A238)),0,8)</f>
        <v>8</v>
      </c>
      <c r="C238" s="36" t="str">
        <f>IFERROR(
  IF(
    VLOOKUP($A238,祝日!$A:$C,2,FALSE)="",
    "",
    VLOOKUP($A238,祝日!$A:$C,2,FALSE)
  ),
  ""
)</f>
        <v/>
      </c>
      <c r="D238" s="36" t="str">
        <f>IFERROR(
  IF(
    VLOOKUP($A238,祝日!$A:$C,3,FALSE)="",
    "",
    VLOOKUP($A238,祝日!$A:$C,3,FALSE)
  ),
  ""
)</f>
        <v/>
      </c>
    </row>
    <row r="239" spans="1:4" ht="15.75" x14ac:dyDescent="0.25">
      <c r="A239" s="35">
        <v>44068</v>
      </c>
      <c r="B239" s="60">
        <f>IF(OR(5&lt;WEEKDAY(A239,2),0&lt;COUNTIF(祝日!A:A,A239)),0,8)</f>
        <v>8</v>
      </c>
      <c r="C239" s="36" t="str">
        <f>IFERROR(
  IF(
    VLOOKUP($A239,祝日!$A:$C,2,FALSE)="",
    "",
    VLOOKUP($A239,祝日!$A:$C,2,FALSE)
  ),
  ""
)</f>
        <v/>
      </c>
      <c r="D239" s="36" t="str">
        <f>IFERROR(
  IF(
    VLOOKUP($A239,祝日!$A:$C,3,FALSE)="",
    "",
    VLOOKUP($A239,祝日!$A:$C,3,FALSE)
  ),
  ""
)</f>
        <v/>
      </c>
    </row>
    <row r="240" spans="1:4" ht="15.75" x14ac:dyDescent="0.25">
      <c r="A240" s="35">
        <v>44069</v>
      </c>
      <c r="B240" s="60">
        <f>IF(OR(5&lt;WEEKDAY(A240,2),0&lt;COUNTIF(祝日!A:A,A240)),0,8)</f>
        <v>8</v>
      </c>
      <c r="C240" s="36" t="str">
        <f>IFERROR(
  IF(
    VLOOKUP($A240,祝日!$A:$C,2,FALSE)="",
    "",
    VLOOKUP($A240,祝日!$A:$C,2,FALSE)
  ),
  ""
)</f>
        <v/>
      </c>
      <c r="D240" s="36" t="str">
        <f>IFERROR(
  IF(
    VLOOKUP($A240,祝日!$A:$C,3,FALSE)="",
    "",
    VLOOKUP($A240,祝日!$A:$C,3,FALSE)
  ),
  ""
)</f>
        <v/>
      </c>
    </row>
    <row r="241" spans="1:4" ht="15.75" x14ac:dyDescent="0.25">
      <c r="A241" s="35">
        <v>44070</v>
      </c>
      <c r="B241" s="60">
        <f>IF(OR(5&lt;WEEKDAY(A241,2),0&lt;COUNTIF(祝日!A:A,A241)),0,8)</f>
        <v>8</v>
      </c>
      <c r="C241" s="36" t="str">
        <f>IFERROR(
  IF(
    VLOOKUP($A241,祝日!$A:$C,2,FALSE)="",
    "",
    VLOOKUP($A241,祝日!$A:$C,2,FALSE)
  ),
  ""
)</f>
        <v/>
      </c>
      <c r="D241" s="36" t="str">
        <f>IFERROR(
  IF(
    VLOOKUP($A241,祝日!$A:$C,3,FALSE)="",
    "",
    VLOOKUP($A241,祝日!$A:$C,3,FALSE)
  ),
  ""
)</f>
        <v/>
      </c>
    </row>
    <row r="242" spans="1:4" ht="15.75" x14ac:dyDescent="0.25">
      <c r="A242" s="35">
        <v>44071</v>
      </c>
      <c r="B242" s="60">
        <f>IF(OR(5&lt;WEEKDAY(A242,2),0&lt;COUNTIF(祝日!A:A,A242)),0,8)</f>
        <v>8</v>
      </c>
      <c r="C242" s="36" t="str">
        <f>IFERROR(
  IF(
    VLOOKUP($A242,祝日!$A:$C,2,FALSE)="",
    "",
    VLOOKUP($A242,祝日!$A:$C,2,FALSE)
  ),
  ""
)</f>
        <v/>
      </c>
      <c r="D242" s="36" t="str">
        <f>IFERROR(
  IF(
    VLOOKUP($A242,祝日!$A:$C,3,FALSE)="",
    "",
    VLOOKUP($A242,祝日!$A:$C,3,FALSE)
  ),
  ""
)</f>
        <v/>
      </c>
    </row>
    <row r="243" spans="1:4" ht="15.75" x14ac:dyDescent="0.25">
      <c r="A243" s="35">
        <v>44072</v>
      </c>
      <c r="B243" s="60">
        <f>IF(OR(5&lt;WEEKDAY(A243,2),0&lt;COUNTIF(祝日!A:A,A243)),0,8)</f>
        <v>0</v>
      </c>
      <c r="C243" s="36" t="str">
        <f>IFERROR(
  IF(
    VLOOKUP($A243,祝日!$A:$C,2,FALSE)="",
    "",
    VLOOKUP($A243,祝日!$A:$C,2,FALSE)
  ),
  ""
)</f>
        <v/>
      </c>
      <c r="D243" s="36" t="str">
        <f>IFERROR(
  IF(
    VLOOKUP($A243,祝日!$A:$C,3,FALSE)="",
    "",
    VLOOKUP($A243,祝日!$A:$C,3,FALSE)
  ),
  ""
)</f>
        <v/>
      </c>
    </row>
    <row r="244" spans="1:4" ht="15.75" x14ac:dyDescent="0.25">
      <c r="A244" s="35">
        <v>44073</v>
      </c>
      <c r="B244" s="60">
        <f>IF(OR(5&lt;WEEKDAY(A244,2),0&lt;COUNTIF(祝日!A:A,A244)),0,8)</f>
        <v>0</v>
      </c>
      <c r="C244" s="36" t="str">
        <f>IFERROR(
  IF(
    VLOOKUP($A244,祝日!$A:$C,2,FALSE)="",
    "",
    VLOOKUP($A244,祝日!$A:$C,2,FALSE)
  ),
  ""
)</f>
        <v/>
      </c>
      <c r="D244" s="36" t="str">
        <f>IFERROR(
  IF(
    VLOOKUP($A244,祝日!$A:$C,3,FALSE)="",
    "",
    VLOOKUP($A244,祝日!$A:$C,3,FALSE)
  ),
  ""
)</f>
        <v/>
      </c>
    </row>
    <row r="245" spans="1:4" ht="15.75" x14ac:dyDescent="0.25">
      <c r="A245" s="35">
        <v>44074</v>
      </c>
      <c r="B245" s="60">
        <f>IF(OR(5&lt;WEEKDAY(A245,2),0&lt;COUNTIF(祝日!A:A,A245)),0,8)</f>
        <v>8</v>
      </c>
      <c r="C245" s="36" t="str">
        <f>IFERROR(
  IF(
    VLOOKUP($A245,祝日!$A:$C,2,FALSE)="",
    "",
    VLOOKUP($A245,祝日!$A:$C,2,FALSE)
  ),
  ""
)</f>
        <v/>
      </c>
      <c r="D245" s="36" t="str">
        <f>IFERROR(
  IF(
    VLOOKUP($A245,祝日!$A:$C,3,FALSE)="",
    "",
    VLOOKUP($A245,祝日!$A:$C,3,FALSE)
  ),
  ""
)</f>
        <v/>
      </c>
    </row>
    <row r="246" spans="1:4" ht="15.75" x14ac:dyDescent="0.25">
      <c r="A246" s="35">
        <v>44075</v>
      </c>
      <c r="B246" s="60">
        <f>IF(OR(5&lt;WEEKDAY(A246,2),0&lt;COUNTIF(祝日!A:A,A246)),0,8)</f>
        <v>8</v>
      </c>
      <c r="C246" s="36" t="str">
        <f>IFERROR(
  IF(
    VLOOKUP($A246,祝日!$A:$C,2,FALSE)="",
    "",
    VLOOKUP($A246,祝日!$A:$C,2,FALSE)
  ),
  ""
)</f>
        <v/>
      </c>
      <c r="D246" s="36" t="str">
        <f>IFERROR(
  IF(
    VLOOKUP($A246,祝日!$A:$C,3,FALSE)="",
    "",
    VLOOKUP($A246,祝日!$A:$C,3,FALSE)
  ),
  ""
)</f>
        <v/>
      </c>
    </row>
    <row r="247" spans="1:4" ht="15.75" x14ac:dyDescent="0.25">
      <c r="A247" s="35">
        <v>44076</v>
      </c>
      <c r="B247" s="60">
        <f>IF(OR(5&lt;WEEKDAY(A247,2),0&lt;COUNTIF(祝日!A:A,A247)),0,8)</f>
        <v>8</v>
      </c>
      <c r="C247" s="36" t="str">
        <f>IFERROR(
  IF(
    VLOOKUP($A247,祝日!$A:$C,2,FALSE)="",
    "",
    VLOOKUP($A247,祝日!$A:$C,2,FALSE)
  ),
  ""
)</f>
        <v/>
      </c>
      <c r="D247" s="36" t="str">
        <f>IFERROR(
  IF(
    VLOOKUP($A247,祝日!$A:$C,3,FALSE)="",
    "",
    VLOOKUP($A247,祝日!$A:$C,3,FALSE)
  ),
  ""
)</f>
        <v/>
      </c>
    </row>
    <row r="248" spans="1:4" ht="15.75" x14ac:dyDescent="0.25">
      <c r="A248" s="35">
        <v>44077</v>
      </c>
      <c r="B248" s="60">
        <f>IF(OR(5&lt;WEEKDAY(A248,2),0&lt;COUNTIF(祝日!A:A,A248)),0,8)</f>
        <v>8</v>
      </c>
      <c r="C248" s="36" t="str">
        <f>IFERROR(
  IF(
    VLOOKUP($A248,祝日!$A:$C,2,FALSE)="",
    "",
    VLOOKUP($A248,祝日!$A:$C,2,FALSE)
  ),
  ""
)</f>
        <v/>
      </c>
      <c r="D248" s="36" t="str">
        <f>IFERROR(
  IF(
    VLOOKUP($A248,祝日!$A:$C,3,FALSE)="",
    "",
    VLOOKUP($A248,祝日!$A:$C,3,FALSE)
  ),
  ""
)</f>
        <v/>
      </c>
    </row>
    <row r="249" spans="1:4" ht="15.75" x14ac:dyDescent="0.25">
      <c r="A249" s="35">
        <v>44078</v>
      </c>
      <c r="B249" s="60">
        <f>IF(OR(5&lt;WEEKDAY(A249,2),0&lt;COUNTIF(祝日!A:A,A249)),0,8)</f>
        <v>8</v>
      </c>
      <c r="C249" s="36" t="str">
        <f>IFERROR(
  IF(
    VLOOKUP($A249,祝日!$A:$C,2,FALSE)="",
    "",
    VLOOKUP($A249,祝日!$A:$C,2,FALSE)
  ),
  ""
)</f>
        <v/>
      </c>
      <c r="D249" s="36" t="str">
        <f>IFERROR(
  IF(
    VLOOKUP($A249,祝日!$A:$C,3,FALSE)="",
    "",
    VLOOKUP($A249,祝日!$A:$C,3,FALSE)
  ),
  ""
)</f>
        <v/>
      </c>
    </row>
    <row r="250" spans="1:4" ht="15.75" x14ac:dyDescent="0.25">
      <c r="A250" s="35">
        <v>44079</v>
      </c>
      <c r="B250" s="60">
        <f>IF(OR(5&lt;WEEKDAY(A250,2),0&lt;COUNTIF(祝日!A:A,A250)),0,8)</f>
        <v>0</v>
      </c>
      <c r="C250" s="36" t="str">
        <f>IFERROR(
  IF(
    VLOOKUP($A250,祝日!$A:$C,2,FALSE)="",
    "",
    VLOOKUP($A250,祝日!$A:$C,2,FALSE)
  ),
  ""
)</f>
        <v/>
      </c>
      <c r="D250" s="36" t="str">
        <f>IFERROR(
  IF(
    VLOOKUP($A250,祝日!$A:$C,3,FALSE)="",
    "",
    VLOOKUP($A250,祝日!$A:$C,3,FALSE)
  ),
  ""
)</f>
        <v/>
      </c>
    </row>
    <row r="251" spans="1:4" ht="15.75" x14ac:dyDescent="0.25">
      <c r="A251" s="35">
        <v>44080</v>
      </c>
      <c r="B251" s="60">
        <f>IF(OR(5&lt;WEEKDAY(A251,2),0&lt;COUNTIF(祝日!A:A,A251)),0,8)</f>
        <v>0</v>
      </c>
      <c r="C251" s="36" t="str">
        <f>IFERROR(
  IF(
    VLOOKUP($A251,祝日!$A:$C,2,FALSE)="",
    "",
    VLOOKUP($A251,祝日!$A:$C,2,FALSE)
  ),
  ""
)</f>
        <v/>
      </c>
      <c r="D251" s="36" t="str">
        <f>IFERROR(
  IF(
    VLOOKUP($A251,祝日!$A:$C,3,FALSE)="",
    "",
    VLOOKUP($A251,祝日!$A:$C,3,FALSE)
  ),
  ""
)</f>
        <v/>
      </c>
    </row>
    <row r="252" spans="1:4" ht="15.75" x14ac:dyDescent="0.25">
      <c r="A252" s="35">
        <v>44081</v>
      </c>
      <c r="B252" s="60">
        <f>IF(OR(5&lt;WEEKDAY(A252,2),0&lt;COUNTIF(祝日!A:A,A252)),0,8)</f>
        <v>8</v>
      </c>
      <c r="C252" s="36" t="str">
        <f>IFERROR(
  IF(
    VLOOKUP($A252,祝日!$A:$C,2,FALSE)="",
    "",
    VLOOKUP($A252,祝日!$A:$C,2,FALSE)
  ),
  ""
)</f>
        <v/>
      </c>
      <c r="D252" s="36" t="str">
        <f>IFERROR(
  IF(
    VLOOKUP($A252,祝日!$A:$C,3,FALSE)="",
    "",
    VLOOKUP($A252,祝日!$A:$C,3,FALSE)
  ),
  ""
)</f>
        <v/>
      </c>
    </row>
    <row r="253" spans="1:4" ht="15.75" x14ac:dyDescent="0.25">
      <c r="A253" s="35">
        <v>44082</v>
      </c>
      <c r="B253" s="60">
        <f>IF(OR(5&lt;WEEKDAY(A253,2),0&lt;COUNTIF(祝日!A:A,A253)),0,8)</f>
        <v>8</v>
      </c>
      <c r="C253" s="36" t="str">
        <f>IFERROR(
  IF(
    VLOOKUP($A253,祝日!$A:$C,2,FALSE)="",
    "",
    VLOOKUP($A253,祝日!$A:$C,2,FALSE)
  ),
  ""
)</f>
        <v/>
      </c>
      <c r="D253" s="36" t="str">
        <f>IFERROR(
  IF(
    VLOOKUP($A253,祝日!$A:$C,3,FALSE)="",
    "",
    VLOOKUP($A253,祝日!$A:$C,3,FALSE)
  ),
  ""
)</f>
        <v/>
      </c>
    </row>
    <row r="254" spans="1:4" ht="15.75" x14ac:dyDescent="0.25">
      <c r="A254" s="35">
        <v>44083</v>
      </c>
      <c r="B254" s="60">
        <f>IF(OR(5&lt;WEEKDAY(A254,2),0&lt;COUNTIF(祝日!A:A,A254)),0,8)</f>
        <v>8</v>
      </c>
      <c r="C254" s="36" t="str">
        <f>IFERROR(
  IF(
    VLOOKUP($A254,祝日!$A:$C,2,FALSE)="",
    "",
    VLOOKUP($A254,祝日!$A:$C,2,FALSE)
  ),
  ""
)</f>
        <v/>
      </c>
      <c r="D254" s="36" t="str">
        <f>IFERROR(
  IF(
    VLOOKUP($A254,祝日!$A:$C,3,FALSE)="",
    "",
    VLOOKUP($A254,祝日!$A:$C,3,FALSE)
  ),
  ""
)</f>
        <v/>
      </c>
    </row>
    <row r="255" spans="1:4" ht="15.75" x14ac:dyDescent="0.25">
      <c r="A255" s="35">
        <v>44084</v>
      </c>
      <c r="B255" s="60">
        <f>IF(OR(5&lt;WEEKDAY(A255,2),0&lt;COUNTIF(祝日!A:A,A255)),0,8)</f>
        <v>8</v>
      </c>
      <c r="C255" s="36" t="str">
        <f>IFERROR(
  IF(
    VLOOKUP($A255,祝日!$A:$C,2,FALSE)="",
    "",
    VLOOKUP($A255,祝日!$A:$C,2,FALSE)
  ),
  ""
)</f>
        <v/>
      </c>
      <c r="D255" s="36" t="str">
        <f>IFERROR(
  IF(
    VLOOKUP($A255,祝日!$A:$C,3,FALSE)="",
    "",
    VLOOKUP($A255,祝日!$A:$C,3,FALSE)
  ),
  ""
)</f>
        <v/>
      </c>
    </row>
    <row r="256" spans="1:4" ht="15.75" x14ac:dyDescent="0.25">
      <c r="A256" s="35">
        <v>44085</v>
      </c>
      <c r="B256" s="60">
        <f>IF(OR(5&lt;WEEKDAY(A256,2),0&lt;COUNTIF(祝日!A:A,A256)),0,8)</f>
        <v>8</v>
      </c>
      <c r="C256" s="36" t="str">
        <f>IFERROR(
  IF(
    VLOOKUP($A256,祝日!$A:$C,2,FALSE)="",
    "",
    VLOOKUP($A256,祝日!$A:$C,2,FALSE)
  ),
  ""
)</f>
        <v/>
      </c>
      <c r="D256" s="36" t="str">
        <f>IFERROR(
  IF(
    VLOOKUP($A256,祝日!$A:$C,3,FALSE)="",
    "",
    VLOOKUP($A256,祝日!$A:$C,3,FALSE)
  ),
  ""
)</f>
        <v/>
      </c>
    </row>
    <row r="257" spans="1:4" ht="15.75" x14ac:dyDescent="0.25">
      <c r="A257" s="35">
        <v>44086</v>
      </c>
      <c r="B257" s="60">
        <f>IF(OR(5&lt;WEEKDAY(A257,2),0&lt;COUNTIF(祝日!A:A,A257)),0,8)</f>
        <v>0</v>
      </c>
      <c r="C257" s="36" t="str">
        <f>IFERROR(
  IF(
    VLOOKUP($A257,祝日!$A:$C,2,FALSE)="",
    "",
    VLOOKUP($A257,祝日!$A:$C,2,FALSE)
  ),
  ""
)</f>
        <v/>
      </c>
      <c r="D257" s="36" t="str">
        <f>IFERROR(
  IF(
    VLOOKUP($A257,祝日!$A:$C,3,FALSE)="",
    "",
    VLOOKUP($A257,祝日!$A:$C,3,FALSE)
  ),
  ""
)</f>
        <v/>
      </c>
    </row>
    <row r="258" spans="1:4" ht="15.75" x14ac:dyDescent="0.25">
      <c r="A258" s="35">
        <v>44087</v>
      </c>
      <c r="B258" s="60">
        <f>IF(OR(5&lt;WEEKDAY(A258,2),0&lt;COUNTIF(祝日!A:A,A258)),0,8)</f>
        <v>0</v>
      </c>
      <c r="C258" s="36" t="str">
        <f>IFERROR(
  IF(
    VLOOKUP($A258,祝日!$A:$C,2,FALSE)="",
    "",
    VLOOKUP($A258,祝日!$A:$C,2,FALSE)
  ),
  ""
)</f>
        <v/>
      </c>
      <c r="D258" s="36" t="str">
        <f>IFERROR(
  IF(
    VLOOKUP($A258,祝日!$A:$C,3,FALSE)="",
    "",
    VLOOKUP($A258,祝日!$A:$C,3,FALSE)
  ),
  ""
)</f>
        <v/>
      </c>
    </row>
    <row r="259" spans="1:4" ht="15.75" x14ac:dyDescent="0.25">
      <c r="A259" s="35">
        <v>44088</v>
      </c>
      <c r="B259" s="60">
        <f>IF(OR(5&lt;WEEKDAY(A259,2),0&lt;COUNTIF(祝日!A:A,A259)),0,8)</f>
        <v>8</v>
      </c>
      <c r="C259" s="36" t="str">
        <f>IFERROR(
  IF(
    VLOOKUP($A259,祝日!$A:$C,2,FALSE)="",
    "",
    VLOOKUP($A259,祝日!$A:$C,2,FALSE)
  ),
  ""
)</f>
        <v/>
      </c>
      <c r="D259" s="36" t="str">
        <f>IFERROR(
  IF(
    VLOOKUP($A259,祝日!$A:$C,3,FALSE)="",
    "",
    VLOOKUP($A259,祝日!$A:$C,3,FALSE)
  ),
  ""
)</f>
        <v/>
      </c>
    </row>
    <row r="260" spans="1:4" ht="15.75" x14ac:dyDescent="0.25">
      <c r="A260" s="35">
        <v>44089</v>
      </c>
      <c r="B260" s="60">
        <f>IF(OR(5&lt;WEEKDAY(A260,2),0&lt;COUNTIF(祝日!A:A,A260)),0,8)</f>
        <v>8</v>
      </c>
      <c r="C260" s="36" t="str">
        <f>IFERROR(
  IF(
    VLOOKUP($A260,祝日!$A:$C,2,FALSE)="",
    "",
    VLOOKUP($A260,祝日!$A:$C,2,FALSE)
  ),
  ""
)</f>
        <v/>
      </c>
      <c r="D260" s="36" t="str">
        <f>IFERROR(
  IF(
    VLOOKUP($A260,祝日!$A:$C,3,FALSE)="",
    "",
    VLOOKUP($A260,祝日!$A:$C,3,FALSE)
  ),
  ""
)</f>
        <v/>
      </c>
    </row>
    <row r="261" spans="1:4" ht="15.75" x14ac:dyDescent="0.25">
      <c r="A261" s="35">
        <v>44090</v>
      </c>
      <c r="B261" s="60">
        <f>IF(OR(5&lt;WEEKDAY(A261,2),0&lt;COUNTIF(祝日!A:A,A261)),0,8)</f>
        <v>8</v>
      </c>
      <c r="C261" s="36" t="str">
        <f>IFERROR(
  IF(
    VLOOKUP($A261,祝日!$A:$C,2,FALSE)="",
    "",
    VLOOKUP($A261,祝日!$A:$C,2,FALSE)
  ),
  ""
)</f>
        <v/>
      </c>
      <c r="D261" s="36" t="str">
        <f>IFERROR(
  IF(
    VLOOKUP($A261,祝日!$A:$C,3,FALSE)="",
    "",
    VLOOKUP($A261,祝日!$A:$C,3,FALSE)
  ),
  ""
)</f>
        <v/>
      </c>
    </row>
    <row r="262" spans="1:4" ht="15.75" x14ac:dyDescent="0.25">
      <c r="A262" s="35">
        <v>44091</v>
      </c>
      <c r="B262" s="60">
        <f>IF(OR(5&lt;WEEKDAY(A262,2),0&lt;COUNTIF(祝日!A:A,A262)),0,8)</f>
        <v>8</v>
      </c>
      <c r="C262" s="36" t="str">
        <f>IFERROR(
  IF(
    VLOOKUP($A262,祝日!$A:$C,2,FALSE)="",
    "",
    VLOOKUP($A262,祝日!$A:$C,2,FALSE)
  ),
  ""
)</f>
        <v/>
      </c>
      <c r="D262" s="36" t="str">
        <f>IFERROR(
  IF(
    VLOOKUP($A262,祝日!$A:$C,3,FALSE)="",
    "",
    VLOOKUP($A262,祝日!$A:$C,3,FALSE)
  ),
  ""
)</f>
        <v/>
      </c>
    </row>
    <row r="263" spans="1:4" ht="15.75" x14ac:dyDescent="0.25">
      <c r="A263" s="35">
        <v>44092</v>
      </c>
      <c r="B263" s="60">
        <f>IF(OR(5&lt;WEEKDAY(A263,2),0&lt;COUNTIF(祝日!A:A,A263)),0,8)</f>
        <v>8</v>
      </c>
      <c r="C263" s="36" t="str">
        <f>IFERROR(
  IF(
    VLOOKUP($A263,祝日!$A:$C,2,FALSE)="",
    "",
    VLOOKUP($A263,祝日!$A:$C,2,FALSE)
  ),
  ""
)</f>
        <v/>
      </c>
      <c r="D263" s="36" t="str">
        <f>IFERROR(
  IF(
    VLOOKUP($A263,祝日!$A:$C,3,FALSE)="",
    "",
    VLOOKUP($A263,祝日!$A:$C,3,FALSE)
  ),
  ""
)</f>
        <v/>
      </c>
    </row>
    <row r="264" spans="1:4" ht="15.75" x14ac:dyDescent="0.25">
      <c r="A264" s="35">
        <v>44093</v>
      </c>
      <c r="B264" s="60">
        <f>IF(OR(5&lt;WEEKDAY(A264,2),0&lt;COUNTIF(祝日!A:A,A264)),0,8)</f>
        <v>0</v>
      </c>
      <c r="C264" s="36" t="str">
        <f>IFERROR(
  IF(
    VLOOKUP($A264,祝日!$A:$C,2,FALSE)="",
    "",
    VLOOKUP($A264,祝日!$A:$C,2,FALSE)
  ),
  ""
)</f>
        <v/>
      </c>
      <c r="D264" s="36" t="str">
        <f>IFERROR(
  IF(
    VLOOKUP($A264,祝日!$A:$C,3,FALSE)="",
    "",
    VLOOKUP($A264,祝日!$A:$C,3,FALSE)
  ),
  ""
)</f>
        <v/>
      </c>
    </row>
    <row r="265" spans="1:4" ht="15.75" x14ac:dyDescent="0.25">
      <c r="A265" s="35">
        <v>44094</v>
      </c>
      <c r="B265" s="60">
        <f>IF(OR(5&lt;WEEKDAY(A265,2),0&lt;COUNTIF(祝日!A:A,A265)),0,8)</f>
        <v>0</v>
      </c>
      <c r="C265" s="36" t="str">
        <f>IFERROR(
  IF(
    VLOOKUP($A265,祝日!$A:$C,2,FALSE)="",
    "",
    VLOOKUP($A265,祝日!$A:$C,2,FALSE)
  ),
  ""
)</f>
        <v/>
      </c>
      <c r="D265" s="36" t="str">
        <f>IFERROR(
  IF(
    VLOOKUP($A265,祝日!$A:$C,3,FALSE)="",
    "",
    VLOOKUP($A265,祝日!$A:$C,3,FALSE)
  ),
  ""
)</f>
        <v/>
      </c>
    </row>
    <row r="266" spans="1:4" ht="15.75" x14ac:dyDescent="0.25">
      <c r="A266" s="35">
        <v>44095</v>
      </c>
      <c r="B266" s="60">
        <f>IF(OR(5&lt;WEEKDAY(A266,2),0&lt;COUNTIF(祝日!A:A,A266)),0,8)</f>
        <v>0</v>
      </c>
      <c r="C266" s="36" t="str">
        <f>IFERROR(
  IF(
    VLOOKUP($A266,祝日!$A:$C,2,FALSE)="",
    "",
    VLOOKUP($A266,祝日!$A:$C,2,FALSE)
  ),
  ""
)</f>
        <v xml:space="preserve">敬老の日 </v>
      </c>
      <c r="D266" s="36" t="str">
        <f>IFERROR(
  IF(
    VLOOKUP($A266,祝日!$A:$C,3,FALSE)="",
    "",
    VLOOKUP($A266,祝日!$A:$C,3,FALSE)
  ),
  ""
)</f>
        <v>9月第3月曜日</v>
      </c>
    </row>
    <row r="267" spans="1:4" ht="15.75" x14ac:dyDescent="0.25">
      <c r="A267" s="35">
        <v>44096</v>
      </c>
      <c r="B267" s="60">
        <f>IF(OR(5&lt;WEEKDAY(A267,2),0&lt;COUNTIF(祝日!A:A,A267)),0,8)</f>
        <v>0</v>
      </c>
      <c r="C267" s="36" t="str">
        <f>IFERROR(
  IF(
    VLOOKUP($A267,祝日!$A:$C,2,FALSE)="",
    "",
    VLOOKUP($A267,祝日!$A:$C,2,FALSE)
  ),
  ""
)</f>
        <v xml:space="preserve">秋分の日 </v>
      </c>
      <c r="D267" s="36" t="str">
        <f>IFERROR(
  IF(
    VLOOKUP($A267,祝日!$A:$C,3,FALSE)="",
    "",
    VLOOKUP($A267,祝日!$A:$C,3,FALSE)
  ),
  ""
)</f>
        <v/>
      </c>
    </row>
    <row r="268" spans="1:4" ht="15.75" x14ac:dyDescent="0.25">
      <c r="A268" s="35">
        <v>44097</v>
      </c>
      <c r="B268" s="60">
        <f>IF(OR(5&lt;WEEKDAY(A268,2),0&lt;COUNTIF(祝日!A:A,A268)),0,8)</f>
        <v>8</v>
      </c>
      <c r="C268" s="36" t="str">
        <f>IFERROR(
  IF(
    VLOOKUP($A268,祝日!$A:$C,2,FALSE)="",
    "",
    VLOOKUP($A268,祝日!$A:$C,2,FALSE)
  ),
  ""
)</f>
        <v/>
      </c>
      <c r="D268" s="36" t="str">
        <f>IFERROR(
  IF(
    VLOOKUP($A268,祝日!$A:$C,3,FALSE)="",
    "",
    VLOOKUP($A268,祝日!$A:$C,3,FALSE)
  ),
  ""
)</f>
        <v/>
      </c>
    </row>
    <row r="269" spans="1:4" ht="15.75" x14ac:dyDescent="0.25">
      <c r="A269" s="35">
        <v>44098</v>
      </c>
      <c r="B269" s="60">
        <f>IF(OR(5&lt;WEEKDAY(A269,2),0&lt;COUNTIF(祝日!A:A,A269)),0,8)</f>
        <v>8</v>
      </c>
      <c r="C269" s="36" t="str">
        <f>IFERROR(
  IF(
    VLOOKUP($A269,祝日!$A:$C,2,FALSE)="",
    "",
    VLOOKUP($A269,祝日!$A:$C,2,FALSE)
  ),
  ""
)</f>
        <v/>
      </c>
      <c r="D269" s="36" t="str">
        <f>IFERROR(
  IF(
    VLOOKUP($A269,祝日!$A:$C,3,FALSE)="",
    "",
    VLOOKUP($A269,祝日!$A:$C,3,FALSE)
  ),
  ""
)</f>
        <v/>
      </c>
    </row>
    <row r="270" spans="1:4" ht="15.75" x14ac:dyDescent="0.25">
      <c r="A270" s="35">
        <v>44099</v>
      </c>
      <c r="B270" s="60">
        <f>IF(OR(5&lt;WEEKDAY(A270,2),0&lt;COUNTIF(祝日!A:A,A270)),0,8)</f>
        <v>8</v>
      </c>
      <c r="C270" s="36" t="str">
        <f>IFERROR(
  IF(
    VLOOKUP($A270,祝日!$A:$C,2,FALSE)="",
    "",
    VLOOKUP($A270,祝日!$A:$C,2,FALSE)
  ),
  ""
)</f>
        <v/>
      </c>
      <c r="D270" s="36" t="str">
        <f>IFERROR(
  IF(
    VLOOKUP($A270,祝日!$A:$C,3,FALSE)="",
    "",
    VLOOKUP($A270,祝日!$A:$C,3,FALSE)
  ),
  ""
)</f>
        <v/>
      </c>
    </row>
    <row r="271" spans="1:4" ht="15.75" x14ac:dyDescent="0.25">
      <c r="A271" s="35">
        <v>44100</v>
      </c>
      <c r="B271" s="60">
        <f>IF(OR(5&lt;WEEKDAY(A271,2),0&lt;COUNTIF(祝日!A:A,A271)),0,8)</f>
        <v>0</v>
      </c>
      <c r="C271" s="36" t="str">
        <f>IFERROR(
  IF(
    VLOOKUP($A271,祝日!$A:$C,2,FALSE)="",
    "",
    VLOOKUP($A271,祝日!$A:$C,2,FALSE)
  ),
  ""
)</f>
        <v/>
      </c>
      <c r="D271" s="36" t="str">
        <f>IFERROR(
  IF(
    VLOOKUP($A271,祝日!$A:$C,3,FALSE)="",
    "",
    VLOOKUP($A271,祝日!$A:$C,3,FALSE)
  ),
  ""
)</f>
        <v/>
      </c>
    </row>
    <row r="272" spans="1:4" ht="15.75" x14ac:dyDescent="0.25">
      <c r="A272" s="35">
        <v>44101</v>
      </c>
      <c r="B272" s="60">
        <f>IF(OR(5&lt;WEEKDAY(A272,2),0&lt;COUNTIF(祝日!A:A,A272)),0,8)</f>
        <v>0</v>
      </c>
      <c r="C272" s="36" t="str">
        <f>IFERROR(
  IF(
    VLOOKUP($A272,祝日!$A:$C,2,FALSE)="",
    "",
    VLOOKUP($A272,祝日!$A:$C,2,FALSE)
  ),
  ""
)</f>
        <v/>
      </c>
      <c r="D272" s="36" t="str">
        <f>IFERROR(
  IF(
    VLOOKUP($A272,祝日!$A:$C,3,FALSE)="",
    "",
    VLOOKUP($A272,祝日!$A:$C,3,FALSE)
  ),
  ""
)</f>
        <v/>
      </c>
    </row>
    <row r="273" spans="1:4" ht="15.75" x14ac:dyDescent="0.25">
      <c r="A273" s="35">
        <v>44102</v>
      </c>
      <c r="B273" s="60">
        <f>IF(OR(5&lt;WEEKDAY(A273,2),0&lt;COUNTIF(祝日!A:A,A273)),0,8)</f>
        <v>8</v>
      </c>
      <c r="C273" s="36" t="str">
        <f>IFERROR(
  IF(
    VLOOKUP($A273,祝日!$A:$C,2,FALSE)="",
    "",
    VLOOKUP($A273,祝日!$A:$C,2,FALSE)
  ),
  ""
)</f>
        <v/>
      </c>
      <c r="D273" s="36" t="str">
        <f>IFERROR(
  IF(
    VLOOKUP($A273,祝日!$A:$C,3,FALSE)="",
    "",
    VLOOKUP($A273,祝日!$A:$C,3,FALSE)
  ),
  ""
)</f>
        <v/>
      </c>
    </row>
    <row r="274" spans="1:4" ht="15.75" x14ac:dyDescent="0.25">
      <c r="A274" s="35">
        <v>44103</v>
      </c>
      <c r="B274" s="60">
        <f>IF(OR(5&lt;WEEKDAY(A274,2),0&lt;COUNTIF(祝日!A:A,A274)),0,8)</f>
        <v>8</v>
      </c>
      <c r="C274" s="36" t="str">
        <f>IFERROR(
  IF(
    VLOOKUP($A274,祝日!$A:$C,2,FALSE)="",
    "",
    VLOOKUP($A274,祝日!$A:$C,2,FALSE)
  ),
  ""
)</f>
        <v/>
      </c>
      <c r="D274" s="36" t="str">
        <f>IFERROR(
  IF(
    VLOOKUP($A274,祝日!$A:$C,3,FALSE)="",
    "",
    VLOOKUP($A274,祝日!$A:$C,3,FALSE)
  ),
  ""
)</f>
        <v/>
      </c>
    </row>
    <row r="275" spans="1:4" ht="15.75" x14ac:dyDescent="0.25">
      <c r="A275" s="35">
        <v>44104</v>
      </c>
      <c r="B275" s="60">
        <f>IF(OR(5&lt;WEEKDAY(A275,2),0&lt;COUNTIF(祝日!A:A,A275)),0,8)</f>
        <v>8</v>
      </c>
      <c r="C275" s="36" t="str">
        <f>IFERROR(
  IF(
    VLOOKUP($A275,祝日!$A:$C,2,FALSE)="",
    "",
    VLOOKUP($A275,祝日!$A:$C,2,FALSE)
  ),
  ""
)</f>
        <v/>
      </c>
      <c r="D275" s="36" t="str">
        <f>IFERROR(
  IF(
    VLOOKUP($A275,祝日!$A:$C,3,FALSE)="",
    "",
    VLOOKUP($A275,祝日!$A:$C,3,FALSE)
  ),
  ""
)</f>
        <v/>
      </c>
    </row>
    <row r="276" spans="1:4" ht="15.75" x14ac:dyDescent="0.25">
      <c r="A276" s="35">
        <v>44105</v>
      </c>
      <c r="B276" s="60">
        <f>IF(OR(5&lt;WEEKDAY(A276,2),0&lt;COUNTIF(祝日!A:A,A276)),0,8)</f>
        <v>8</v>
      </c>
      <c r="C276" s="36" t="str">
        <f>IFERROR(
  IF(
    VLOOKUP($A276,祝日!$A:$C,2,FALSE)="",
    "",
    VLOOKUP($A276,祝日!$A:$C,2,FALSE)
  ),
  ""
)</f>
        <v/>
      </c>
      <c r="D276" s="36" t="str">
        <f>IFERROR(
  IF(
    VLOOKUP($A276,祝日!$A:$C,3,FALSE)="",
    "",
    VLOOKUP($A276,祝日!$A:$C,3,FALSE)
  ),
  ""
)</f>
        <v/>
      </c>
    </row>
    <row r="277" spans="1:4" ht="15.75" x14ac:dyDescent="0.25">
      <c r="A277" s="35">
        <v>44106</v>
      </c>
      <c r="B277" s="60">
        <f>IF(OR(5&lt;WEEKDAY(A277,2),0&lt;COUNTIF(祝日!A:A,A277)),0,8)</f>
        <v>8</v>
      </c>
      <c r="C277" s="36" t="str">
        <f>IFERROR(
  IF(
    VLOOKUP($A277,祝日!$A:$C,2,FALSE)="",
    "",
    VLOOKUP($A277,祝日!$A:$C,2,FALSE)
  ),
  ""
)</f>
        <v/>
      </c>
      <c r="D277" s="36" t="str">
        <f>IFERROR(
  IF(
    VLOOKUP($A277,祝日!$A:$C,3,FALSE)="",
    "",
    VLOOKUP($A277,祝日!$A:$C,3,FALSE)
  ),
  ""
)</f>
        <v/>
      </c>
    </row>
    <row r="278" spans="1:4" ht="15.75" x14ac:dyDescent="0.25">
      <c r="A278" s="35">
        <v>44107</v>
      </c>
      <c r="B278" s="60">
        <f>IF(OR(5&lt;WEEKDAY(A278,2),0&lt;COUNTIF(祝日!A:A,A278)),0,8)</f>
        <v>0</v>
      </c>
      <c r="C278" s="36" t="str">
        <f>IFERROR(
  IF(
    VLOOKUP($A278,祝日!$A:$C,2,FALSE)="",
    "",
    VLOOKUP($A278,祝日!$A:$C,2,FALSE)
  ),
  ""
)</f>
        <v/>
      </c>
      <c r="D278" s="36" t="str">
        <f>IFERROR(
  IF(
    VLOOKUP($A278,祝日!$A:$C,3,FALSE)="",
    "",
    VLOOKUP($A278,祝日!$A:$C,3,FALSE)
  ),
  ""
)</f>
        <v/>
      </c>
    </row>
    <row r="279" spans="1:4" ht="15.75" x14ac:dyDescent="0.25">
      <c r="A279" s="35">
        <v>44108</v>
      </c>
      <c r="B279" s="60">
        <f>IF(OR(5&lt;WEEKDAY(A279,2),0&lt;COUNTIF(祝日!A:A,A279)),0,8)</f>
        <v>0</v>
      </c>
      <c r="C279" s="36" t="str">
        <f>IFERROR(
  IF(
    VLOOKUP($A279,祝日!$A:$C,2,FALSE)="",
    "",
    VLOOKUP($A279,祝日!$A:$C,2,FALSE)
  ),
  ""
)</f>
        <v/>
      </c>
      <c r="D279" s="36" t="str">
        <f>IFERROR(
  IF(
    VLOOKUP($A279,祝日!$A:$C,3,FALSE)="",
    "",
    VLOOKUP($A279,祝日!$A:$C,3,FALSE)
  ),
  ""
)</f>
        <v/>
      </c>
    </row>
    <row r="280" spans="1:4" ht="15.75" x14ac:dyDescent="0.25">
      <c r="A280" s="35">
        <v>44109</v>
      </c>
      <c r="B280" s="60">
        <f>IF(OR(5&lt;WEEKDAY(A280,2),0&lt;COUNTIF(祝日!A:A,A280)),0,8)</f>
        <v>8</v>
      </c>
      <c r="C280" s="36" t="str">
        <f>IFERROR(
  IF(
    VLOOKUP($A280,祝日!$A:$C,2,FALSE)="",
    "",
    VLOOKUP($A280,祝日!$A:$C,2,FALSE)
  ),
  ""
)</f>
        <v/>
      </c>
      <c r="D280" s="36" t="str">
        <f>IFERROR(
  IF(
    VLOOKUP($A280,祝日!$A:$C,3,FALSE)="",
    "",
    VLOOKUP($A280,祝日!$A:$C,3,FALSE)
  ),
  ""
)</f>
        <v/>
      </c>
    </row>
    <row r="281" spans="1:4" ht="15.75" x14ac:dyDescent="0.25">
      <c r="A281" s="35">
        <v>44110</v>
      </c>
      <c r="B281" s="60">
        <f>IF(OR(5&lt;WEEKDAY(A281,2),0&lt;COUNTIF(祝日!A:A,A281)),0,8)</f>
        <v>8</v>
      </c>
      <c r="C281" s="36" t="str">
        <f>IFERROR(
  IF(
    VLOOKUP($A281,祝日!$A:$C,2,FALSE)="",
    "",
    VLOOKUP($A281,祝日!$A:$C,2,FALSE)
  ),
  ""
)</f>
        <v/>
      </c>
      <c r="D281" s="36" t="str">
        <f>IFERROR(
  IF(
    VLOOKUP($A281,祝日!$A:$C,3,FALSE)="",
    "",
    VLOOKUP($A281,祝日!$A:$C,3,FALSE)
  ),
  ""
)</f>
        <v/>
      </c>
    </row>
    <row r="282" spans="1:4" ht="15.75" x14ac:dyDescent="0.25">
      <c r="A282" s="35">
        <v>44111</v>
      </c>
      <c r="B282" s="60">
        <f>IF(OR(5&lt;WEEKDAY(A282,2),0&lt;COUNTIF(祝日!A:A,A282)),0,8)</f>
        <v>8</v>
      </c>
      <c r="C282" s="36" t="str">
        <f>IFERROR(
  IF(
    VLOOKUP($A282,祝日!$A:$C,2,FALSE)="",
    "",
    VLOOKUP($A282,祝日!$A:$C,2,FALSE)
  ),
  ""
)</f>
        <v/>
      </c>
      <c r="D282" s="36" t="str">
        <f>IFERROR(
  IF(
    VLOOKUP($A282,祝日!$A:$C,3,FALSE)="",
    "",
    VLOOKUP($A282,祝日!$A:$C,3,FALSE)
  ),
  ""
)</f>
        <v/>
      </c>
    </row>
    <row r="283" spans="1:4" ht="15.75" x14ac:dyDescent="0.25">
      <c r="A283" s="35">
        <v>44112</v>
      </c>
      <c r="B283" s="60">
        <f>IF(OR(5&lt;WEEKDAY(A283,2),0&lt;COUNTIF(祝日!A:A,A283)),0,8)</f>
        <v>8</v>
      </c>
      <c r="C283" s="36" t="str">
        <f>IFERROR(
  IF(
    VLOOKUP($A283,祝日!$A:$C,2,FALSE)="",
    "",
    VLOOKUP($A283,祝日!$A:$C,2,FALSE)
  ),
  ""
)</f>
        <v/>
      </c>
      <c r="D283" s="36" t="str">
        <f>IFERROR(
  IF(
    VLOOKUP($A283,祝日!$A:$C,3,FALSE)="",
    "",
    VLOOKUP($A283,祝日!$A:$C,3,FALSE)
  ),
  ""
)</f>
        <v/>
      </c>
    </row>
    <row r="284" spans="1:4" ht="15.75" x14ac:dyDescent="0.25">
      <c r="A284" s="35">
        <v>44113</v>
      </c>
      <c r="B284" s="60">
        <f>IF(OR(5&lt;WEEKDAY(A284,2),0&lt;COUNTIF(祝日!A:A,A284)),0,8)</f>
        <v>8</v>
      </c>
      <c r="C284" s="36" t="str">
        <f>IFERROR(
  IF(
    VLOOKUP($A284,祝日!$A:$C,2,FALSE)="",
    "",
    VLOOKUP($A284,祝日!$A:$C,2,FALSE)
  ),
  ""
)</f>
        <v/>
      </c>
      <c r="D284" s="36" t="str">
        <f>IFERROR(
  IF(
    VLOOKUP($A284,祝日!$A:$C,3,FALSE)="",
    "",
    VLOOKUP($A284,祝日!$A:$C,3,FALSE)
  ),
  ""
)</f>
        <v/>
      </c>
    </row>
    <row r="285" spans="1:4" ht="15.75" x14ac:dyDescent="0.25">
      <c r="A285" s="35">
        <v>44114</v>
      </c>
      <c r="B285" s="60">
        <f>IF(OR(5&lt;WEEKDAY(A285,2),0&lt;COUNTIF(祝日!A:A,A285)),0,8)</f>
        <v>0</v>
      </c>
      <c r="C285" s="36" t="str">
        <f>IFERROR(
  IF(
    VLOOKUP($A285,祝日!$A:$C,2,FALSE)="",
    "",
    VLOOKUP($A285,祝日!$A:$C,2,FALSE)
  ),
  ""
)</f>
        <v/>
      </c>
      <c r="D285" s="36" t="str">
        <f>IFERROR(
  IF(
    VLOOKUP($A285,祝日!$A:$C,3,FALSE)="",
    "",
    VLOOKUP($A285,祝日!$A:$C,3,FALSE)
  ),
  ""
)</f>
        <v/>
      </c>
    </row>
    <row r="286" spans="1:4" ht="15.75" x14ac:dyDescent="0.25">
      <c r="A286" s="35">
        <v>44115</v>
      </c>
      <c r="B286" s="60">
        <f>IF(OR(5&lt;WEEKDAY(A286,2),0&lt;COUNTIF(祝日!A:A,A286)),0,8)</f>
        <v>0</v>
      </c>
      <c r="C286" s="36" t="str">
        <f>IFERROR(
  IF(
    VLOOKUP($A286,祝日!$A:$C,2,FALSE)="",
    "",
    VLOOKUP($A286,祝日!$A:$C,2,FALSE)
  ),
  ""
)</f>
        <v/>
      </c>
      <c r="D286" s="36" t="str">
        <f>IFERROR(
  IF(
    VLOOKUP($A286,祝日!$A:$C,3,FALSE)="",
    "",
    VLOOKUP($A286,祝日!$A:$C,3,FALSE)
  ),
  ""
)</f>
        <v/>
      </c>
    </row>
    <row r="287" spans="1:4" ht="15.75" x14ac:dyDescent="0.25">
      <c r="A287" s="35">
        <v>44116</v>
      </c>
      <c r="B287" s="60">
        <f>IF(OR(5&lt;WEEKDAY(A287,2),0&lt;COUNTIF(祝日!A:A,A287)),0,8)</f>
        <v>8</v>
      </c>
      <c r="C287" s="36" t="str">
        <f>IFERROR(
  IF(
    VLOOKUP($A287,祝日!$A:$C,2,FALSE)="",
    "",
    VLOOKUP($A287,祝日!$A:$C,2,FALSE)
  ),
  ""
)</f>
        <v/>
      </c>
      <c r="D287" s="36" t="str">
        <f>IFERROR(
  IF(
    VLOOKUP($A287,祝日!$A:$C,3,FALSE)="",
    "",
    VLOOKUP($A287,祝日!$A:$C,3,FALSE)
  ),
  ""
)</f>
        <v/>
      </c>
    </row>
    <row r="288" spans="1:4" ht="15.75" x14ac:dyDescent="0.25">
      <c r="A288" s="35">
        <v>44117</v>
      </c>
      <c r="B288" s="60">
        <f>IF(OR(5&lt;WEEKDAY(A288,2),0&lt;COUNTIF(祝日!A:A,A288)),0,8)</f>
        <v>8</v>
      </c>
      <c r="C288" s="36" t="str">
        <f>IFERROR(
  IF(
    VLOOKUP($A288,祝日!$A:$C,2,FALSE)="",
    "",
    VLOOKUP($A288,祝日!$A:$C,2,FALSE)
  ),
  ""
)</f>
        <v/>
      </c>
      <c r="D288" s="36" t="str">
        <f>IFERROR(
  IF(
    VLOOKUP($A288,祝日!$A:$C,3,FALSE)="",
    "",
    VLOOKUP($A288,祝日!$A:$C,3,FALSE)
  ),
  ""
)</f>
        <v/>
      </c>
    </row>
    <row r="289" spans="1:4" ht="15.75" x14ac:dyDescent="0.25">
      <c r="A289" s="35">
        <v>44118</v>
      </c>
      <c r="B289" s="60">
        <f>IF(OR(5&lt;WEEKDAY(A289,2),0&lt;COUNTIF(祝日!A:A,A289)),0,8)</f>
        <v>8</v>
      </c>
      <c r="C289" s="36" t="str">
        <f>IFERROR(
  IF(
    VLOOKUP($A289,祝日!$A:$C,2,FALSE)="",
    "",
    VLOOKUP($A289,祝日!$A:$C,2,FALSE)
  ),
  ""
)</f>
        <v/>
      </c>
      <c r="D289" s="36" t="str">
        <f>IFERROR(
  IF(
    VLOOKUP($A289,祝日!$A:$C,3,FALSE)="",
    "",
    VLOOKUP($A289,祝日!$A:$C,3,FALSE)
  ),
  ""
)</f>
        <v/>
      </c>
    </row>
    <row r="290" spans="1:4" ht="15.75" x14ac:dyDescent="0.25">
      <c r="A290" s="35">
        <v>44119</v>
      </c>
      <c r="B290" s="60">
        <f>IF(OR(5&lt;WEEKDAY(A290,2),0&lt;COUNTIF(祝日!A:A,A290)),0,8)</f>
        <v>8</v>
      </c>
      <c r="C290" s="36" t="str">
        <f>IFERROR(
  IF(
    VLOOKUP($A290,祝日!$A:$C,2,FALSE)="",
    "",
    VLOOKUP($A290,祝日!$A:$C,2,FALSE)
  ),
  ""
)</f>
        <v/>
      </c>
      <c r="D290" s="36" t="str">
        <f>IFERROR(
  IF(
    VLOOKUP($A290,祝日!$A:$C,3,FALSE)="",
    "",
    VLOOKUP($A290,祝日!$A:$C,3,FALSE)
  ),
  ""
)</f>
        <v/>
      </c>
    </row>
    <row r="291" spans="1:4" ht="15.75" x14ac:dyDescent="0.25">
      <c r="A291" s="35">
        <v>44120</v>
      </c>
      <c r="B291" s="60">
        <f>IF(OR(5&lt;WEEKDAY(A291,2),0&lt;COUNTIF(祝日!A:A,A291)),0,8)</f>
        <v>8</v>
      </c>
      <c r="C291" s="36" t="str">
        <f>IFERROR(
  IF(
    VLOOKUP($A291,祝日!$A:$C,2,FALSE)="",
    "",
    VLOOKUP($A291,祝日!$A:$C,2,FALSE)
  ),
  ""
)</f>
        <v/>
      </c>
      <c r="D291" s="36" t="str">
        <f>IFERROR(
  IF(
    VLOOKUP($A291,祝日!$A:$C,3,FALSE)="",
    "",
    VLOOKUP($A291,祝日!$A:$C,3,FALSE)
  ),
  ""
)</f>
        <v/>
      </c>
    </row>
    <row r="292" spans="1:4" ht="15.75" x14ac:dyDescent="0.25">
      <c r="A292" s="35">
        <v>44121</v>
      </c>
      <c r="B292" s="60">
        <f>IF(OR(5&lt;WEEKDAY(A292,2),0&lt;COUNTIF(祝日!A:A,A292)),0,8)</f>
        <v>0</v>
      </c>
      <c r="C292" s="36" t="str">
        <f>IFERROR(
  IF(
    VLOOKUP($A292,祝日!$A:$C,2,FALSE)="",
    "",
    VLOOKUP($A292,祝日!$A:$C,2,FALSE)
  ),
  ""
)</f>
        <v/>
      </c>
      <c r="D292" s="36" t="str">
        <f>IFERROR(
  IF(
    VLOOKUP($A292,祝日!$A:$C,3,FALSE)="",
    "",
    VLOOKUP($A292,祝日!$A:$C,3,FALSE)
  ),
  ""
)</f>
        <v/>
      </c>
    </row>
    <row r="293" spans="1:4" ht="15.75" x14ac:dyDescent="0.25">
      <c r="A293" s="35">
        <v>44122</v>
      </c>
      <c r="B293" s="60">
        <f>IF(OR(5&lt;WEEKDAY(A293,2),0&lt;COUNTIF(祝日!A:A,A293)),0,8)</f>
        <v>0</v>
      </c>
      <c r="C293" s="36" t="str">
        <f>IFERROR(
  IF(
    VLOOKUP($A293,祝日!$A:$C,2,FALSE)="",
    "",
    VLOOKUP($A293,祝日!$A:$C,2,FALSE)
  ),
  ""
)</f>
        <v/>
      </c>
      <c r="D293" s="36" t="str">
        <f>IFERROR(
  IF(
    VLOOKUP($A293,祝日!$A:$C,3,FALSE)="",
    "",
    VLOOKUP($A293,祝日!$A:$C,3,FALSE)
  ),
  ""
)</f>
        <v/>
      </c>
    </row>
    <row r="294" spans="1:4" ht="15.75" x14ac:dyDescent="0.25">
      <c r="A294" s="35">
        <v>44123</v>
      </c>
      <c r="B294" s="60">
        <f>IF(OR(5&lt;WEEKDAY(A294,2),0&lt;COUNTIF(祝日!A:A,A294)),0,8)</f>
        <v>8</v>
      </c>
      <c r="C294" s="36" t="str">
        <f>IFERROR(
  IF(
    VLOOKUP($A294,祝日!$A:$C,2,FALSE)="",
    "",
    VLOOKUP($A294,祝日!$A:$C,2,FALSE)
  ),
  ""
)</f>
        <v/>
      </c>
      <c r="D294" s="36" t="str">
        <f>IFERROR(
  IF(
    VLOOKUP($A294,祝日!$A:$C,3,FALSE)="",
    "",
    VLOOKUP($A294,祝日!$A:$C,3,FALSE)
  ),
  ""
)</f>
        <v/>
      </c>
    </row>
    <row r="295" spans="1:4" ht="15.75" x14ac:dyDescent="0.25">
      <c r="A295" s="35">
        <v>44124</v>
      </c>
      <c r="B295" s="60">
        <f>IF(OR(5&lt;WEEKDAY(A295,2),0&lt;COUNTIF(祝日!A:A,A295)),0,8)</f>
        <v>8</v>
      </c>
      <c r="C295" s="36" t="str">
        <f>IFERROR(
  IF(
    VLOOKUP($A295,祝日!$A:$C,2,FALSE)="",
    "",
    VLOOKUP($A295,祝日!$A:$C,2,FALSE)
  ),
  ""
)</f>
        <v/>
      </c>
      <c r="D295" s="36" t="str">
        <f>IFERROR(
  IF(
    VLOOKUP($A295,祝日!$A:$C,3,FALSE)="",
    "",
    VLOOKUP($A295,祝日!$A:$C,3,FALSE)
  ),
  ""
)</f>
        <v/>
      </c>
    </row>
    <row r="296" spans="1:4" ht="15.75" x14ac:dyDescent="0.25">
      <c r="A296" s="35">
        <v>44125</v>
      </c>
      <c r="B296" s="60">
        <f>IF(OR(5&lt;WEEKDAY(A296,2),0&lt;COUNTIF(祝日!A:A,A296)),0,8)</f>
        <v>8</v>
      </c>
      <c r="C296" s="36" t="str">
        <f>IFERROR(
  IF(
    VLOOKUP($A296,祝日!$A:$C,2,FALSE)="",
    "",
    VLOOKUP($A296,祝日!$A:$C,2,FALSE)
  ),
  ""
)</f>
        <v/>
      </c>
      <c r="D296" s="36" t="str">
        <f>IFERROR(
  IF(
    VLOOKUP($A296,祝日!$A:$C,3,FALSE)="",
    "",
    VLOOKUP($A296,祝日!$A:$C,3,FALSE)
  ),
  ""
)</f>
        <v/>
      </c>
    </row>
    <row r="297" spans="1:4" ht="15.75" x14ac:dyDescent="0.25">
      <c r="A297" s="35">
        <v>44126</v>
      </c>
      <c r="B297" s="60">
        <f>IF(OR(5&lt;WEEKDAY(A297,2),0&lt;COUNTIF(祝日!A:A,A297)),0,8)</f>
        <v>8</v>
      </c>
      <c r="C297" s="36" t="str">
        <f>IFERROR(
  IF(
    VLOOKUP($A297,祝日!$A:$C,2,FALSE)="",
    "",
    VLOOKUP($A297,祝日!$A:$C,2,FALSE)
  ),
  ""
)</f>
        <v/>
      </c>
      <c r="D297" s="36" t="str">
        <f>IFERROR(
  IF(
    VLOOKUP($A297,祝日!$A:$C,3,FALSE)="",
    "",
    VLOOKUP($A297,祝日!$A:$C,3,FALSE)
  ),
  ""
)</f>
        <v/>
      </c>
    </row>
    <row r="298" spans="1:4" ht="15.75" x14ac:dyDescent="0.25">
      <c r="A298" s="35">
        <v>44127</v>
      </c>
      <c r="B298" s="60">
        <f>IF(OR(5&lt;WEEKDAY(A298,2),0&lt;COUNTIF(祝日!A:A,A298)),0,8)</f>
        <v>8</v>
      </c>
      <c r="C298" s="36" t="str">
        <f>IFERROR(
  IF(
    VLOOKUP($A298,祝日!$A:$C,2,FALSE)="",
    "",
    VLOOKUP($A298,祝日!$A:$C,2,FALSE)
  ),
  ""
)</f>
        <v/>
      </c>
      <c r="D298" s="36" t="str">
        <f>IFERROR(
  IF(
    VLOOKUP($A298,祝日!$A:$C,3,FALSE)="",
    "",
    VLOOKUP($A298,祝日!$A:$C,3,FALSE)
  ),
  ""
)</f>
        <v/>
      </c>
    </row>
    <row r="299" spans="1:4" ht="15.75" x14ac:dyDescent="0.25">
      <c r="A299" s="35">
        <v>44128</v>
      </c>
      <c r="B299" s="60">
        <f>IF(OR(5&lt;WEEKDAY(A299,2),0&lt;COUNTIF(祝日!A:A,A299)),0,8)</f>
        <v>0</v>
      </c>
      <c r="C299" s="36" t="str">
        <f>IFERROR(
  IF(
    VLOOKUP($A299,祝日!$A:$C,2,FALSE)="",
    "",
    VLOOKUP($A299,祝日!$A:$C,2,FALSE)
  ),
  ""
)</f>
        <v/>
      </c>
      <c r="D299" s="36" t="str">
        <f>IFERROR(
  IF(
    VLOOKUP($A299,祝日!$A:$C,3,FALSE)="",
    "",
    VLOOKUP($A299,祝日!$A:$C,3,FALSE)
  ),
  ""
)</f>
        <v/>
      </c>
    </row>
    <row r="300" spans="1:4" ht="15.75" x14ac:dyDescent="0.25">
      <c r="A300" s="35">
        <v>44129</v>
      </c>
      <c r="B300" s="60">
        <f>IF(OR(5&lt;WEEKDAY(A300,2),0&lt;COUNTIF(祝日!A:A,A300)),0,8)</f>
        <v>0</v>
      </c>
      <c r="C300" s="36" t="str">
        <f>IFERROR(
  IF(
    VLOOKUP($A300,祝日!$A:$C,2,FALSE)="",
    "",
    VLOOKUP($A300,祝日!$A:$C,2,FALSE)
  ),
  ""
)</f>
        <v/>
      </c>
      <c r="D300" s="36" t="str">
        <f>IFERROR(
  IF(
    VLOOKUP($A300,祝日!$A:$C,3,FALSE)="",
    "",
    VLOOKUP($A300,祝日!$A:$C,3,FALSE)
  ),
  ""
)</f>
        <v/>
      </c>
    </row>
    <row r="301" spans="1:4" ht="15.75" x14ac:dyDescent="0.25">
      <c r="A301" s="35">
        <v>44130</v>
      </c>
      <c r="B301" s="60">
        <f>IF(OR(5&lt;WEEKDAY(A301,2),0&lt;COUNTIF(祝日!A:A,A301)),0,8)</f>
        <v>8</v>
      </c>
      <c r="C301" s="36" t="str">
        <f>IFERROR(
  IF(
    VLOOKUP($A301,祝日!$A:$C,2,FALSE)="",
    "",
    VLOOKUP($A301,祝日!$A:$C,2,FALSE)
  ),
  ""
)</f>
        <v/>
      </c>
      <c r="D301" s="36" t="str">
        <f>IFERROR(
  IF(
    VLOOKUP($A301,祝日!$A:$C,3,FALSE)="",
    "",
    VLOOKUP($A301,祝日!$A:$C,3,FALSE)
  ),
  ""
)</f>
        <v/>
      </c>
    </row>
    <row r="302" spans="1:4" ht="15.75" x14ac:dyDescent="0.25">
      <c r="A302" s="35">
        <v>44131</v>
      </c>
      <c r="B302" s="60">
        <f>IF(OR(5&lt;WEEKDAY(A302,2),0&lt;COUNTIF(祝日!A:A,A302)),0,8)</f>
        <v>8</v>
      </c>
      <c r="C302" s="36" t="str">
        <f>IFERROR(
  IF(
    VLOOKUP($A302,祝日!$A:$C,2,FALSE)="",
    "",
    VLOOKUP($A302,祝日!$A:$C,2,FALSE)
  ),
  ""
)</f>
        <v/>
      </c>
      <c r="D302" s="36" t="str">
        <f>IFERROR(
  IF(
    VLOOKUP($A302,祝日!$A:$C,3,FALSE)="",
    "",
    VLOOKUP($A302,祝日!$A:$C,3,FALSE)
  ),
  ""
)</f>
        <v/>
      </c>
    </row>
    <row r="303" spans="1:4" ht="15.75" x14ac:dyDescent="0.25">
      <c r="A303" s="35">
        <v>44132</v>
      </c>
      <c r="B303" s="60">
        <f>IF(OR(5&lt;WEEKDAY(A303,2),0&lt;COUNTIF(祝日!A:A,A303)),0,8)</f>
        <v>8</v>
      </c>
      <c r="C303" s="36" t="str">
        <f>IFERROR(
  IF(
    VLOOKUP($A303,祝日!$A:$C,2,FALSE)="",
    "",
    VLOOKUP($A303,祝日!$A:$C,2,FALSE)
  ),
  ""
)</f>
        <v/>
      </c>
      <c r="D303" s="36" t="str">
        <f>IFERROR(
  IF(
    VLOOKUP($A303,祝日!$A:$C,3,FALSE)="",
    "",
    VLOOKUP($A303,祝日!$A:$C,3,FALSE)
  ),
  ""
)</f>
        <v/>
      </c>
    </row>
    <row r="304" spans="1:4" ht="15.75" x14ac:dyDescent="0.25">
      <c r="A304" s="35">
        <v>44133</v>
      </c>
      <c r="B304" s="60">
        <f>IF(OR(5&lt;WEEKDAY(A304,2),0&lt;COUNTIF(祝日!A:A,A304)),0,8)</f>
        <v>8</v>
      </c>
      <c r="C304" s="36" t="str">
        <f>IFERROR(
  IF(
    VLOOKUP($A304,祝日!$A:$C,2,FALSE)="",
    "",
    VLOOKUP($A304,祝日!$A:$C,2,FALSE)
  ),
  ""
)</f>
        <v/>
      </c>
      <c r="D304" s="36" t="str">
        <f>IFERROR(
  IF(
    VLOOKUP($A304,祝日!$A:$C,3,FALSE)="",
    "",
    VLOOKUP($A304,祝日!$A:$C,3,FALSE)
  ),
  ""
)</f>
        <v/>
      </c>
    </row>
    <row r="305" spans="1:4" ht="15.75" x14ac:dyDescent="0.25">
      <c r="A305" s="35">
        <v>44134</v>
      </c>
      <c r="B305" s="60">
        <f>IF(OR(5&lt;WEEKDAY(A305,2),0&lt;COUNTIF(祝日!A:A,A305)),0,8)</f>
        <v>8</v>
      </c>
      <c r="C305" s="36" t="str">
        <f>IFERROR(
  IF(
    VLOOKUP($A305,祝日!$A:$C,2,FALSE)="",
    "",
    VLOOKUP($A305,祝日!$A:$C,2,FALSE)
  ),
  ""
)</f>
        <v/>
      </c>
      <c r="D305" s="36" t="str">
        <f>IFERROR(
  IF(
    VLOOKUP($A305,祝日!$A:$C,3,FALSE)="",
    "",
    VLOOKUP($A305,祝日!$A:$C,3,FALSE)
  ),
  ""
)</f>
        <v/>
      </c>
    </row>
    <row r="306" spans="1:4" ht="15.75" x14ac:dyDescent="0.25">
      <c r="A306" s="35">
        <v>44135</v>
      </c>
      <c r="B306" s="60">
        <f>IF(OR(5&lt;WEEKDAY(A306,2),0&lt;COUNTIF(祝日!A:A,A306)),0,8)</f>
        <v>0</v>
      </c>
      <c r="C306" s="36" t="str">
        <f>IFERROR(
  IF(
    VLOOKUP($A306,祝日!$A:$C,2,FALSE)="",
    "",
    VLOOKUP($A306,祝日!$A:$C,2,FALSE)
  ),
  ""
)</f>
        <v/>
      </c>
      <c r="D306" s="36" t="str">
        <f>IFERROR(
  IF(
    VLOOKUP($A306,祝日!$A:$C,3,FALSE)="",
    "",
    VLOOKUP($A306,祝日!$A:$C,3,FALSE)
  ),
  ""
)</f>
        <v/>
      </c>
    </row>
    <row r="307" spans="1:4" ht="15.75" x14ac:dyDescent="0.25">
      <c r="A307" s="35">
        <v>44136</v>
      </c>
      <c r="B307" s="60">
        <f>IF(OR(5&lt;WEEKDAY(A307,2),0&lt;COUNTIF(祝日!A:A,A307)),0,8)</f>
        <v>0</v>
      </c>
      <c r="C307" s="36" t="str">
        <f>IFERROR(
  IF(
    VLOOKUP($A307,祝日!$A:$C,2,FALSE)="",
    "",
    VLOOKUP($A307,祝日!$A:$C,2,FALSE)
  ),
  ""
)</f>
        <v/>
      </c>
      <c r="D307" s="36" t="str">
        <f>IFERROR(
  IF(
    VLOOKUP($A307,祝日!$A:$C,3,FALSE)="",
    "",
    VLOOKUP($A307,祝日!$A:$C,3,FALSE)
  ),
  ""
)</f>
        <v/>
      </c>
    </row>
    <row r="308" spans="1:4" ht="15.75" x14ac:dyDescent="0.25">
      <c r="A308" s="35">
        <v>44137</v>
      </c>
      <c r="B308" s="60">
        <f>IF(OR(5&lt;WEEKDAY(A308,2),0&lt;COUNTIF(祝日!A:A,A308)),0,8)</f>
        <v>8</v>
      </c>
      <c r="C308" s="36" t="str">
        <f>IFERROR(
  IF(
    VLOOKUP($A308,祝日!$A:$C,2,FALSE)="",
    "",
    VLOOKUP($A308,祝日!$A:$C,2,FALSE)
  ),
  ""
)</f>
        <v/>
      </c>
      <c r="D308" s="36" t="str">
        <f>IFERROR(
  IF(
    VLOOKUP($A308,祝日!$A:$C,3,FALSE)="",
    "",
    VLOOKUP($A308,祝日!$A:$C,3,FALSE)
  ),
  ""
)</f>
        <v/>
      </c>
    </row>
    <row r="309" spans="1:4" ht="15.75" x14ac:dyDescent="0.25">
      <c r="A309" s="35">
        <v>44138</v>
      </c>
      <c r="B309" s="60">
        <f>IF(OR(5&lt;WEEKDAY(A309,2),0&lt;COUNTIF(祝日!A:A,A309)),0,8)</f>
        <v>0</v>
      </c>
      <c r="C309" s="36" t="str">
        <f>IFERROR(
  IF(
    VLOOKUP($A309,祝日!$A:$C,2,FALSE)="",
    "",
    VLOOKUP($A309,祝日!$A:$C,2,FALSE)
  ),
  ""
)</f>
        <v xml:space="preserve">文化の日 </v>
      </c>
      <c r="D309" s="36" t="str">
        <f>IFERROR(
  IF(
    VLOOKUP($A309,祝日!$A:$C,3,FALSE)="",
    "",
    VLOOKUP($A309,祝日!$A:$C,3,FALSE)
  ),
  ""
)</f>
        <v/>
      </c>
    </row>
    <row r="310" spans="1:4" ht="15.75" x14ac:dyDescent="0.25">
      <c r="A310" s="35">
        <v>44139</v>
      </c>
      <c r="B310" s="60">
        <f>IF(OR(5&lt;WEEKDAY(A310,2),0&lt;COUNTIF(祝日!A:A,A310)),0,8)</f>
        <v>8</v>
      </c>
      <c r="C310" s="36" t="str">
        <f>IFERROR(
  IF(
    VLOOKUP($A310,祝日!$A:$C,2,FALSE)="",
    "",
    VLOOKUP($A310,祝日!$A:$C,2,FALSE)
  ),
  ""
)</f>
        <v/>
      </c>
      <c r="D310" s="36" t="str">
        <f>IFERROR(
  IF(
    VLOOKUP($A310,祝日!$A:$C,3,FALSE)="",
    "",
    VLOOKUP($A310,祝日!$A:$C,3,FALSE)
  ),
  ""
)</f>
        <v/>
      </c>
    </row>
    <row r="311" spans="1:4" ht="15.75" x14ac:dyDescent="0.25">
      <c r="A311" s="35">
        <v>44140</v>
      </c>
      <c r="B311" s="60">
        <f>IF(OR(5&lt;WEEKDAY(A311,2),0&lt;COUNTIF(祝日!A:A,A311)),0,8)</f>
        <v>8</v>
      </c>
      <c r="C311" s="36" t="str">
        <f>IFERROR(
  IF(
    VLOOKUP($A311,祝日!$A:$C,2,FALSE)="",
    "",
    VLOOKUP($A311,祝日!$A:$C,2,FALSE)
  ),
  ""
)</f>
        <v/>
      </c>
      <c r="D311" s="36" t="str">
        <f>IFERROR(
  IF(
    VLOOKUP($A311,祝日!$A:$C,3,FALSE)="",
    "",
    VLOOKUP($A311,祝日!$A:$C,3,FALSE)
  ),
  ""
)</f>
        <v/>
      </c>
    </row>
    <row r="312" spans="1:4" ht="15.75" x14ac:dyDescent="0.25">
      <c r="A312" s="35">
        <v>44141</v>
      </c>
      <c r="B312" s="60">
        <f>IF(OR(5&lt;WEEKDAY(A312,2),0&lt;COUNTIF(祝日!A:A,A312)),0,8)</f>
        <v>8</v>
      </c>
      <c r="C312" s="36" t="str">
        <f>IFERROR(
  IF(
    VLOOKUP($A312,祝日!$A:$C,2,FALSE)="",
    "",
    VLOOKUP($A312,祝日!$A:$C,2,FALSE)
  ),
  ""
)</f>
        <v/>
      </c>
      <c r="D312" s="36" t="str">
        <f>IFERROR(
  IF(
    VLOOKUP($A312,祝日!$A:$C,3,FALSE)="",
    "",
    VLOOKUP($A312,祝日!$A:$C,3,FALSE)
  ),
  ""
)</f>
        <v/>
      </c>
    </row>
    <row r="313" spans="1:4" ht="15.75" x14ac:dyDescent="0.25">
      <c r="A313" s="35">
        <v>44142</v>
      </c>
      <c r="B313" s="60">
        <f>IF(OR(5&lt;WEEKDAY(A313,2),0&lt;COUNTIF(祝日!A:A,A313)),0,8)</f>
        <v>0</v>
      </c>
      <c r="C313" s="36" t="str">
        <f>IFERROR(
  IF(
    VLOOKUP($A313,祝日!$A:$C,2,FALSE)="",
    "",
    VLOOKUP($A313,祝日!$A:$C,2,FALSE)
  ),
  ""
)</f>
        <v/>
      </c>
      <c r="D313" s="36" t="str">
        <f>IFERROR(
  IF(
    VLOOKUP($A313,祝日!$A:$C,3,FALSE)="",
    "",
    VLOOKUP($A313,祝日!$A:$C,3,FALSE)
  ),
  ""
)</f>
        <v/>
      </c>
    </row>
    <row r="314" spans="1:4" ht="15.75" x14ac:dyDescent="0.25">
      <c r="A314" s="35">
        <v>44143</v>
      </c>
      <c r="B314" s="60">
        <f>IF(OR(5&lt;WEEKDAY(A314,2),0&lt;COUNTIF(祝日!A:A,A314)),0,8)</f>
        <v>0</v>
      </c>
      <c r="C314" s="36" t="str">
        <f>IFERROR(
  IF(
    VLOOKUP($A314,祝日!$A:$C,2,FALSE)="",
    "",
    VLOOKUP($A314,祝日!$A:$C,2,FALSE)
  ),
  ""
)</f>
        <v/>
      </c>
      <c r="D314" s="36" t="str">
        <f>IFERROR(
  IF(
    VLOOKUP($A314,祝日!$A:$C,3,FALSE)="",
    "",
    VLOOKUP($A314,祝日!$A:$C,3,FALSE)
  ),
  ""
)</f>
        <v/>
      </c>
    </row>
    <row r="315" spans="1:4" ht="15.75" x14ac:dyDescent="0.25">
      <c r="A315" s="35">
        <v>44144</v>
      </c>
      <c r="B315" s="60">
        <f>IF(OR(5&lt;WEEKDAY(A315,2),0&lt;COUNTIF(祝日!A:A,A315)),0,8)</f>
        <v>8</v>
      </c>
      <c r="C315" s="36" t="str">
        <f>IFERROR(
  IF(
    VLOOKUP($A315,祝日!$A:$C,2,FALSE)="",
    "",
    VLOOKUP($A315,祝日!$A:$C,2,FALSE)
  ),
  ""
)</f>
        <v/>
      </c>
      <c r="D315" s="36" t="str">
        <f>IFERROR(
  IF(
    VLOOKUP($A315,祝日!$A:$C,3,FALSE)="",
    "",
    VLOOKUP($A315,祝日!$A:$C,3,FALSE)
  ),
  ""
)</f>
        <v/>
      </c>
    </row>
    <row r="316" spans="1:4" ht="15.75" x14ac:dyDescent="0.25">
      <c r="A316" s="35">
        <v>44145</v>
      </c>
      <c r="B316" s="60">
        <f>IF(OR(5&lt;WEEKDAY(A316,2),0&lt;COUNTIF(祝日!A:A,A316)),0,8)</f>
        <v>8</v>
      </c>
      <c r="C316" s="36" t="str">
        <f>IFERROR(
  IF(
    VLOOKUP($A316,祝日!$A:$C,2,FALSE)="",
    "",
    VLOOKUP($A316,祝日!$A:$C,2,FALSE)
  ),
  ""
)</f>
        <v/>
      </c>
      <c r="D316" s="36" t="str">
        <f>IFERROR(
  IF(
    VLOOKUP($A316,祝日!$A:$C,3,FALSE)="",
    "",
    VLOOKUP($A316,祝日!$A:$C,3,FALSE)
  ),
  ""
)</f>
        <v/>
      </c>
    </row>
    <row r="317" spans="1:4" ht="15.75" x14ac:dyDescent="0.25">
      <c r="A317" s="35">
        <v>44146</v>
      </c>
      <c r="B317" s="60">
        <f>IF(OR(5&lt;WEEKDAY(A317,2),0&lt;COUNTIF(祝日!A:A,A317)),0,8)</f>
        <v>8</v>
      </c>
      <c r="C317" s="36" t="str">
        <f>IFERROR(
  IF(
    VLOOKUP($A317,祝日!$A:$C,2,FALSE)="",
    "",
    VLOOKUP($A317,祝日!$A:$C,2,FALSE)
  ),
  ""
)</f>
        <v/>
      </c>
      <c r="D317" s="36" t="str">
        <f>IFERROR(
  IF(
    VLOOKUP($A317,祝日!$A:$C,3,FALSE)="",
    "",
    VLOOKUP($A317,祝日!$A:$C,3,FALSE)
  ),
  ""
)</f>
        <v/>
      </c>
    </row>
    <row r="318" spans="1:4" ht="15.75" x14ac:dyDescent="0.25">
      <c r="A318" s="35">
        <v>44147</v>
      </c>
      <c r="B318" s="60">
        <f>IF(OR(5&lt;WEEKDAY(A318,2),0&lt;COUNTIF(祝日!A:A,A318)),0,8)</f>
        <v>8</v>
      </c>
      <c r="C318" s="36" t="str">
        <f>IFERROR(
  IF(
    VLOOKUP($A318,祝日!$A:$C,2,FALSE)="",
    "",
    VLOOKUP($A318,祝日!$A:$C,2,FALSE)
  ),
  ""
)</f>
        <v/>
      </c>
      <c r="D318" s="36" t="str">
        <f>IFERROR(
  IF(
    VLOOKUP($A318,祝日!$A:$C,3,FALSE)="",
    "",
    VLOOKUP($A318,祝日!$A:$C,3,FALSE)
  ),
  ""
)</f>
        <v/>
      </c>
    </row>
    <row r="319" spans="1:4" ht="15.75" x14ac:dyDescent="0.25">
      <c r="A319" s="35">
        <v>44148</v>
      </c>
      <c r="B319" s="60">
        <f>IF(OR(5&lt;WEEKDAY(A319,2),0&lt;COUNTIF(祝日!A:A,A319)),0,8)</f>
        <v>8</v>
      </c>
      <c r="C319" s="36" t="str">
        <f>IFERROR(
  IF(
    VLOOKUP($A319,祝日!$A:$C,2,FALSE)="",
    "",
    VLOOKUP($A319,祝日!$A:$C,2,FALSE)
  ),
  ""
)</f>
        <v/>
      </c>
      <c r="D319" s="36" t="str">
        <f>IFERROR(
  IF(
    VLOOKUP($A319,祝日!$A:$C,3,FALSE)="",
    "",
    VLOOKUP($A319,祝日!$A:$C,3,FALSE)
  ),
  ""
)</f>
        <v/>
      </c>
    </row>
    <row r="320" spans="1:4" ht="15.75" x14ac:dyDescent="0.25">
      <c r="A320" s="35">
        <v>44149</v>
      </c>
      <c r="B320" s="60">
        <f>IF(OR(5&lt;WEEKDAY(A320,2),0&lt;COUNTIF(祝日!A:A,A320)),0,8)</f>
        <v>0</v>
      </c>
      <c r="C320" s="36" t="str">
        <f>IFERROR(
  IF(
    VLOOKUP($A320,祝日!$A:$C,2,FALSE)="",
    "",
    VLOOKUP($A320,祝日!$A:$C,2,FALSE)
  ),
  ""
)</f>
        <v/>
      </c>
      <c r="D320" s="36" t="str">
        <f>IFERROR(
  IF(
    VLOOKUP($A320,祝日!$A:$C,3,FALSE)="",
    "",
    VLOOKUP($A320,祝日!$A:$C,3,FALSE)
  ),
  ""
)</f>
        <v/>
      </c>
    </row>
    <row r="321" spans="1:4" ht="15.75" x14ac:dyDescent="0.25">
      <c r="A321" s="35">
        <v>44150</v>
      </c>
      <c r="B321" s="60">
        <f>IF(OR(5&lt;WEEKDAY(A321,2),0&lt;COUNTIF(祝日!A:A,A321)),0,8)</f>
        <v>0</v>
      </c>
      <c r="C321" s="36" t="str">
        <f>IFERROR(
  IF(
    VLOOKUP($A321,祝日!$A:$C,2,FALSE)="",
    "",
    VLOOKUP($A321,祝日!$A:$C,2,FALSE)
  ),
  ""
)</f>
        <v/>
      </c>
      <c r="D321" s="36" t="str">
        <f>IFERROR(
  IF(
    VLOOKUP($A321,祝日!$A:$C,3,FALSE)="",
    "",
    VLOOKUP($A321,祝日!$A:$C,3,FALSE)
  ),
  ""
)</f>
        <v/>
      </c>
    </row>
    <row r="322" spans="1:4" ht="15.75" x14ac:dyDescent="0.25">
      <c r="A322" s="35">
        <v>44151</v>
      </c>
      <c r="B322" s="60">
        <f>IF(OR(5&lt;WEEKDAY(A322,2),0&lt;COUNTIF(祝日!A:A,A322)),0,8)</f>
        <v>8</v>
      </c>
      <c r="C322" s="36" t="str">
        <f>IFERROR(
  IF(
    VLOOKUP($A322,祝日!$A:$C,2,FALSE)="",
    "",
    VLOOKUP($A322,祝日!$A:$C,2,FALSE)
  ),
  ""
)</f>
        <v/>
      </c>
      <c r="D322" s="36" t="str">
        <f>IFERROR(
  IF(
    VLOOKUP($A322,祝日!$A:$C,3,FALSE)="",
    "",
    VLOOKUP($A322,祝日!$A:$C,3,FALSE)
  ),
  ""
)</f>
        <v/>
      </c>
    </row>
    <row r="323" spans="1:4" ht="15.75" x14ac:dyDescent="0.25">
      <c r="A323" s="35">
        <v>44152</v>
      </c>
      <c r="B323" s="60">
        <f>IF(OR(5&lt;WEEKDAY(A323,2),0&lt;COUNTIF(祝日!A:A,A323)),0,8)</f>
        <v>8</v>
      </c>
      <c r="C323" s="36" t="str">
        <f>IFERROR(
  IF(
    VLOOKUP($A323,祝日!$A:$C,2,FALSE)="",
    "",
    VLOOKUP($A323,祝日!$A:$C,2,FALSE)
  ),
  ""
)</f>
        <v/>
      </c>
      <c r="D323" s="36" t="str">
        <f>IFERROR(
  IF(
    VLOOKUP($A323,祝日!$A:$C,3,FALSE)="",
    "",
    VLOOKUP($A323,祝日!$A:$C,3,FALSE)
  ),
  ""
)</f>
        <v/>
      </c>
    </row>
    <row r="324" spans="1:4" ht="15.75" x14ac:dyDescent="0.25">
      <c r="A324" s="35">
        <v>44153</v>
      </c>
      <c r="B324" s="60">
        <f>IF(OR(5&lt;WEEKDAY(A324,2),0&lt;COUNTIF(祝日!A:A,A324)),0,8)</f>
        <v>8</v>
      </c>
      <c r="C324" s="36" t="str">
        <f>IFERROR(
  IF(
    VLOOKUP($A324,祝日!$A:$C,2,FALSE)="",
    "",
    VLOOKUP($A324,祝日!$A:$C,2,FALSE)
  ),
  ""
)</f>
        <v/>
      </c>
      <c r="D324" s="36" t="str">
        <f>IFERROR(
  IF(
    VLOOKUP($A324,祝日!$A:$C,3,FALSE)="",
    "",
    VLOOKUP($A324,祝日!$A:$C,3,FALSE)
  ),
  ""
)</f>
        <v/>
      </c>
    </row>
    <row r="325" spans="1:4" ht="15.75" x14ac:dyDescent="0.25">
      <c r="A325" s="35">
        <v>44154</v>
      </c>
      <c r="B325" s="60">
        <f>IF(OR(5&lt;WEEKDAY(A325,2),0&lt;COUNTIF(祝日!A:A,A325)),0,8)</f>
        <v>8</v>
      </c>
      <c r="C325" s="36" t="str">
        <f>IFERROR(
  IF(
    VLOOKUP($A325,祝日!$A:$C,2,FALSE)="",
    "",
    VLOOKUP($A325,祝日!$A:$C,2,FALSE)
  ),
  ""
)</f>
        <v/>
      </c>
      <c r="D325" s="36" t="str">
        <f>IFERROR(
  IF(
    VLOOKUP($A325,祝日!$A:$C,3,FALSE)="",
    "",
    VLOOKUP($A325,祝日!$A:$C,3,FALSE)
  ),
  ""
)</f>
        <v/>
      </c>
    </row>
    <row r="326" spans="1:4" ht="15.75" x14ac:dyDescent="0.25">
      <c r="A326" s="35">
        <v>44155</v>
      </c>
      <c r="B326" s="60">
        <f>IF(OR(5&lt;WEEKDAY(A326,2),0&lt;COUNTIF(祝日!A:A,A326)),0,8)</f>
        <v>8</v>
      </c>
      <c r="C326" s="36" t="str">
        <f>IFERROR(
  IF(
    VLOOKUP($A326,祝日!$A:$C,2,FALSE)="",
    "",
    VLOOKUP($A326,祝日!$A:$C,2,FALSE)
  ),
  ""
)</f>
        <v/>
      </c>
      <c r="D326" s="36" t="str">
        <f>IFERROR(
  IF(
    VLOOKUP($A326,祝日!$A:$C,3,FALSE)="",
    "",
    VLOOKUP($A326,祝日!$A:$C,3,FALSE)
  ),
  ""
)</f>
        <v/>
      </c>
    </row>
    <row r="327" spans="1:4" ht="15.75" x14ac:dyDescent="0.25">
      <c r="A327" s="35">
        <v>44156</v>
      </c>
      <c r="B327" s="60">
        <f>IF(OR(5&lt;WEEKDAY(A327,2),0&lt;COUNTIF(祝日!A:A,A327)),0,8)</f>
        <v>0</v>
      </c>
      <c r="C327" s="36" t="str">
        <f>IFERROR(
  IF(
    VLOOKUP($A327,祝日!$A:$C,2,FALSE)="",
    "",
    VLOOKUP($A327,祝日!$A:$C,2,FALSE)
  ),
  ""
)</f>
        <v/>
      </c>
      <c r="D327" s="36" t="str">
        <f>IFERROR(
  IF(
    VLOOKUP($A327,祝日!$A:$C,3,FALSE)="",
    "",
    VLOOKUP($A327,祝日!$A:$C,3,FALSE)
  ),
  ""
)</f>
        <v/>
      </c>
    </row>
    <row r="328" spans="1:4" ht="15.75" x14ac:dyDescent="0.25">
      <c r="A328" s="35">
        <v>44157</v>
      </c>
      <c r="B328" s="60">
        <f>IF(OR(5&lt;WEEKDAY(A328,2),0&lt;COUNTIF(祝日!A:A,A328)),0,8)</f>
        <v>0</v>
      </c>
      <c r="C328" s="36" t="str">
        <f>IFERROR(
  IF(
    VLOOKUP($A328,祝日!$A:$C,2,FALSE)="",
    "",
    VLOOKUP($A328,祝日!$A:$C,2,FALSE)
  ),
  ""
)</f>
        <v/>
      </c>
      <c r="D328" s="36" t="str">
        <f>IFERROR(
  IF(
    VLOOKUP($A328,祝日!$A:$C,3,FALSE)="",
    "",
    VLOOKUP($A328,祝日!$A:$C,3,FALSE)
  ),
  ""
)</f>
        <v/>
      </c>
    </row>
    <row r="329" spans="1:4" ht="15.75" x14ac:dyDescent="0.25">
      <c r="A329" s="35">
        <v>44158</v>
      </c>
      <c r="B329" s="60">
        <f>IF(OR(5&lt;WEEKDAY(A329,2),0&lt;COUNTIF(祝日!A:A,A329)),0,8)</f>
        <v>0</v>
      </c>
      <c r="C329" s="36" t="str">
        <f>IFERROR(
  IF(
    VLOOKUP($A329,祝日!$A:$C,2,FALSE)="",
    "",
    VLOOKUP($A329,祝日!$A:$C,2,FALSE)
  ),
  ""
)</f>
        <v xml:space="preserve">勤労感謝の日 </v>
      </c>
      <c r="D329" s="36" t="str">
        <f>IFERROR(
  IF(
    VLOOKUP($A329,祝日!$A:$C,3,FALSE)="",
    "",
    VLOOKUP($A329,祝日!$A:$C,3,FALSE)
  ),
  ""
)</f>
        <v/>
      </c>
    </row>
    <row r="330" spans="1:4" ht="15.75" x14ac:dyDescent="0.25">
      <c r="A330" s="35">
        <v>44159</v>
      </c>
      <c r="B330" s="60">
        <f>IF(OR(5&lt;WEEKDAY(A330,2),0&lt;COUNTIF(祝日!A:A,A330)),0,8)</f>
        <v>8</v>
      </c>
      <c r="C330" s="36" t="str">
        <f>IFERROR(
  IF(
    VLOOKUP($A330,祝日!$A:$C,2,FALSE)="",
    "",
    VLOOKUP($A330,祝日!$A:$C,2,FALSE)
  ),
  ""
)</f>
        <v/>
      </c>
      <c r="D330" s="36" t="str">
        <f>IFERROR(
  IF(
    VLOOKUP($A330,祝日!$A:$C,3,FALSE)="",
    "",
    VLOOKUP($A330,祝日!$A:$C,3,FALSE)
  ),
  ""
)</f>
        <v/>
      </c>
    </row>
    <row r="331" spans="1:4" ht="15.75" x14ac:dyDescent="0.25">
      <c r="A331" s="35">
        <v>44160</v>
      </c>
      <c r="B331" s="60">
        <f>IF(OR(5&lt;WEEKDAY(A331,2),0&lt;COUNTIF(祝日!A:A,A331)),0,8)</f>
        <v>8</v>
      </c>
      <c r="C331" s="36" t="str">
        <f>IFERROR(
  IF(
    VLOOKUP($A331,祝日!$A:$C,2,FALSE)="",
    "",
    VLOOKUP($A331,祝日!$A:$C,2,FALSE)
  ),
  ""
)</f>
        <v/>
      </c>
      <c r="D331" s="36" t="str">
        <f>IFERROR(
  IF(
    VLOOKUP($A331,祝日!$A:$C,3,FALSE)="",
    "",
    VLOOKUP($A331,祝日!$A:$C,3,FALSE)
  ),
  ""
)</f>
        <v/>
      </c>
    </row>
    <row r="332" spans="1:4" ht="15.75" x14ac:dyDescent="0.25">
      <c r="A332" s="35">
        <v>44161</v>
      </c>
      <c r="B332" s="60">
        <f>IF(OR(5&lt;WEEKDAY(A332,2),0&lt;COUNTIF(祝日!A:A,A332)),0,8)</f>
        <v>8</v>
      </c>
      <c r="C332" s="36" t="str">
        <f>IFERROR(
  IF(
    VLOOKUP($A332,祝日!$A:$C,2,FALSE)="",
    "",
    VLOOKUP($A332,祝日!$A:$C,2,FALSE)
  ),
  ""
)</f>
        <v/>
      </c>
      <c r="D332" s="36" t="str">
        <f>IFERROR(
  IF(
    VLOOKUP($A332,祝日!$A:$C,3,FALSE)="",
    "",
    VLOOKUP($A332,祝日!$A:$C,3,FALSE)
  ),
  ""
)</f>
        <v/>
      </c>
    </row>
    <row r="333" spans="1:4" ht="15.75" x14ac:dyDescent="0.25">
      <c r="A333" s="35">
        <v>44162</v>
      </c>
      <c r="B333" s="60">
        <f>IF(OR(5&lt;WEEKDAY(A333,2),0&lt;COUNTIF(祝日!A:A,A333)),0,8)</f>
        <v>8</v>
      </c>
      <c r="C333" s="36" t="str">
        <f>IFERROR(
  IF(
    VLOOKUP($A333,祝日!$A:$C,2,FALSE)="",
    "",
    VLOOKUP($A333,祝日!$A:$C,2,FALSE)
  ),
  ""
)</f>
        <v/>
      </c>
      <c r="D333" s="36" t="str">
        <f>IFERROR(
  IF(
    VLOOKUP($A333,祝日!$A:$C,3,FALSE)="",
    "",
    VLOOKUP($A333,祝日!$A:$C,3,FALSE)
  ),
  ""
)</f>
        <v/>
      </c>
    </row>
    <row r="334" spans="1:4" ht="15.75" x14ac:dyDescent="0.25">
      <c r="A334" s="35">
        <v>44163</v>
      </c>
      <c r="B334" s="60">
        <f>IF(OR(5&lt;WEEKDAY(A334,2),0&lt;COUNTIF(祝日!A:A,A334)),0,8)</f>
        <v>0</v>
      </c>
      <c r="C334" s="36" t="str">
        <f>IFERROR(
  IF(
    VLOOKUP($A334,祝日!$A:$C,2,FALSE)="",
    "",
    VLOOKUP($A334,祝日!$A:$C,2,FALSE)
  ),
  ""
)</f>
        <v/>
      </c>
      <c r="D334" s="36" t="str">
        <f>IFERROR(
  IF(
    VLOOKUP($A334,祝日!$A:$C,3,FALSE)="",
    "",
    VLOOKUP($A334,祝日!$A:$C,3,FALSE)
  ),
  ""
)</f>
        <v/>
      </c>
    </row>
    <row r="335" spans="1:4" ht="15.75" x14ac:dyDescent="0.25">
      <c r="A335" s="35">
        <v>44164</v>
      </c>
      <c r="B335" s="60">
        <f>IF(OR(5&lt;WEEKDAY(A335,2),0&lt;COUNTIF(祝日!A:A,A335)),0,8)</f>
        <v>0</v>
      </c>
      <c r="C335" s="36" t="str">
        <f>IFERROR(
  IF(
    VLOOKUP($A335,祝日!$A:$C,2,FALSE)="",
    "",
    VLOOKUP($A335,祝日!$A:$C,2,FALSE)
  ),
  ""
)</f>
        <v/>
      </c>
      <c r="D335" s="36" t="str">
        <f>IFERROR(
  IF(
    VLOOKUP($A335,祝日!$A:$C,3,FALSE)="",
    "",
    VLOOKUP($A335,祝日!$A:$C,3,FALSE)
  ),
  ""
)</f>
        <v/>
      </c>
    </row>
    <row r="336" spans="1:4" ht="15.75" x14ac:dyDescent="0.25">
      <c r="A336" s="35">
        <v>44165</v>
      </c>
      <c r="B336" s="60">
        <f>IF(OR(5&lt;WEEKDAY(A336,2),0&lt;COUNTIF(祝日!A:A,A336)),0,8)</f>
        <v>8</v>
      </c>
      <c r="C336" s="36" t="str">
        <f>IFERROR(
  IF(
    VLOOKUP($A336,祝日!$A:$C,2,FALSE)="",
    "",
    VLOOKUP($A336,祝日!$A:$C,2,FALSE)
  ),
  ""
)</f>
        <v/>
      </c>
      <c r="D336" s="36" t="str">
        <f>IFERROR(
  IF(
    VLOOKUP($A336,祝日!$A:$C,3,FALSE)="",
    "",
    VLOOKUP($A336,祝日!$A:$C,3,FALSE)
  ),
  ""
)</f>
        <v/>
      </c>
    </row>
    <row r="337" spans="1:4" ht="15.75" x14ac:dyDescent="0.25">
      <c r="A337" s="35">
        <v>44166</v>
      </c>
      <c r="B337" s="60">
        <f>IF(OR(5&lt;WEEKDAY(A337,2),0&lt;COUNTIF(祝日!A:A,A337)),0,8)</f>
        <v>8</v>
      </c>
      <c r="C337" s="36" t="str">
        <f>IFERROR(
  IF(
    VLOOKUP($A337,祝日!$A:$C,2,FALSE)="",
    "",
    VLOOKUP($A337,祝日!$A:$C,2,FALSE)
  ),
  ""
)</f>
        <v/>
      </c>
      <c r="D337" s="36" t="str">
        <f>IFERROR(
  IF(
    VLOOKUP($A337,祝日!$A:$C,3,FALSE)="",
    "",
    VLOOKUP($A337,祝日!$A:$C,3,FALSE)
  ),
  ""
)</f>
        <v/>
      </c>
    </row>
    <row r="338" spans="1:4" ht="15.75" x14ac:dyDescent="0.25">
      <c r="A338" s="35">
        <v>44167</v>
      </c>
      <c r="B338" s="60">
        <f>IF(OR(5&lt;WEEKDAY(A338,2),0&lt;COUNTIF(祝日!A:A,A338)),0,8)</f>
        <v>8</v>
      </c>
      <c r="C338" s="36" t="str">
        <f>IFERROR(
  IF(
    VLOOKUP($A338,祝日!$A:$C,2,FALSE)="",
    "",
    VLOOKUP($A338,祝日!$A:$C,2,FALSE)
  ),
  ""
)</f>
        <v/>
      </c>
      <c r="D338" s="36" t="str">
        <f>IFERROR(
  IF(
    VLOOKUP($A338,祝日!$A:$C,3,FALSE)="",
    "",
    VLOOKUP($A338,祝日!$A:$C,3,FALSE)
  ),
  ""
)</f>
        <v/>
      </c>
    </row>
    <row r="339" spans="1:4" ht="15.75" x14ac:dyDescent="0.25">
      <c r="A339" s="35">
        <v>44168</v>
      </c>
      <c r="B339" s="60">
        <f>IF(OR(5&lt;WEEKDAY(A339,2),0&lt;COUNTIF(祝日!A:A,A339)),0,8)</f>
        <v>8</v>
      </c>
      <c r="C339" s="36" t="str">
        <f>IFERROR(
  IF(
    VLOOKUP($A339,祝日!$A:$C,2,FALSE)="",
    "",
    VLOOKUP($A339,祝日!$A:$C,2,FALSE)
  ),
  ""
)</f>
        <v/>
      </c>
      <c r="D339" s="36" t="str">
        <f>IFERROR(
  IF(
    VLOOKUP($A339,祝日!$A:$C,3,FALSE)="",
    "",
    VLOOKUP($A339,祝日!$A:$C,3,FALSE)
  ),
  ""
)</f>
        <v/>
      </c>
    </row>
    <row r="340" spans="1:4" ht="15.75" x14ac:dyDescent="0.25">
      <c r="A340" s="35">
        <v>44169</v>
      </c>
      <c r="B340" s="60">
        <f>IF(OR(5&lt;WEEKDAY(A340,2),0&lt;COUNTIF(祝日!A:A,A340)),0,8)</f>
        <v>8</v>
      </c>
      <c r="C340" s="36" t="str">
        <f>IFERROR(
  IF(
    VLOOKUP($A340,祝日!$A:$C,2,FALSE)="",
    "",
    VLOOKUP($A340,祝日!$A:$C,2,FALSE)
  ),
  ""
)</f>
        <v/>
      </c>
      <c r="D340" s="36" t="str">
        <f>IFERROR(
  IF(
    VLOOKUP($A340,祝日!$A:$C,3,FALSE)="",
    "",
    VLOOKUP($A340,祝日!$A:$C,3,FALSE)
  ),
  ""
)</f>
        <v/>
      </c>
    </row>
    <row r="341" spans="1:4" ht="15.75" x14ac:dyDescent="0.25">
      <c r="A341" s="35">
        <v>44170</v>
      </c>
      <c r="B341" s="60">
        <f>IF(OR(5&lt;WEEKDAY(A341,2),0&lt;COUNTIF(祝日!A:A,A341)),0,8)</f>
        <v>0</v>
      </c>
      <c r="C341" s="36" t="str">
        <f>IFERROR(
  IF(
    VLOOKUP($A341,祝日!$A:$C,2,FALSE)="",
    "",
    VLOOKUP($A341,祝日!$A:$C,2,FALSE)
  ),
  ""
)</f>
        <v/>
      </c>
      <c r="D341" s="36" t="str">
        <f>IFERROR(
  IF(
    VLOOKUP($A341,祝日!$A:$C,3,FALSE)="",
    "",
    VLOOKUP($A341,祝日!$A:$C,3,FALSE)
  ),
  ""
)</f>
        <v/>
      </c>
    </row>
    <row r="342" spans="1:4" ht="15.75" x14ac:dyDescent="0.25">
      <c r="A342" s="35">
        <v>44171</v>
      </c>
      <c r="B342" s="60">
        <f>IF(OR(5&lt;WEEKDAY(A342,2),0&lt;COUNTIF(祝日!A:A,A342)),0,8)</f>
        <v>0</v>
      </c>
      <c r="C342" s="36" t="str">
        <f>IFERROR(
  IF(
    VLOOKUP($A342,祝日!$A:$C,2,FALSE)="",
    "",
    VLOOKUP($A342,祝日!$A:$C,2,FALSE)
  ),
  ""
)</f>
        <v/>
      </c>
      <c r="D342" s="36" t="str">
        <f>IFERROR(
  IF(
    VLOOKUP($A342,祝日!$A:$C,3,FALSE)="",
    "",
    VLOOKUP($A342,祝日!$A:$C,3,FALSE)
  ),
  ""
)</f>
        <v/>
      </c>
    </row>
    <row r="343" spans="1:4" ht="15.75" x14ac:dyDescent="0.25">
      <c r="A343" s="35">
        <v>44172</v>
      </c>
      <c r="B343" s="60">
        <f>IF(OR(5&lt;WEEKDAY(A343,2),0&lt;COUNTIF(祝日!A:A,A343)),0,8)</f>
        <v>8</v>
      </c>
      <c r="C343" s="36" t="str">
        <f>IFERROR(
  IF(
    VLOOKUP($A343,祝日!$A:$C,2,FALSE)="",
    "",
    VLOOKUP($A343,祝日!$A:$C,2,FALSE)
  ),
  ""
)</f>
        <v/>
      </c>
      <c r="D343" s="36" t="str">
        <f>IFERROR(
  IF(
    VLOOKUP($A343,祝日!$A:$C,3,FALSE)="",
    "",
    VLOOKUP($A343,祝日!$A:$C,3,FALSE)
  ),
  ""
)</f>
        <v/>
      </c>
    </row>
    <row r="344" spans="1:4" ht="15.75" x14ac:dyDescent="0.25">
      <c r="A344" s="35">
        <v>44173</v>
      </c>
      <c r="B344" s="60">
        <f>IF(OR(5&lt;WEEKDAY(A344,2),0&lt;COUNTIF(祝日!A:A,A344)),0,8)</f>
        <v>8</v>
      </c>
      <c r="C344" s="36" t="str">
        <f>IFERROR(
  IF(
    VLOOKUP($A344,祝日!$A:$C,2,FALSE)="",
    "",
    VLOOKUP($A344,祝日!$A:$C,2,FALSE)
  ),
  ""
)</f>
        <v/>
      </c>
      <c r="D344" s="36" t="str">
        <f>IFERROR(
  IF(
    VLOOKUP($A344,祝日!$A:$C,3,FALSE)="",
    "",
    VLOOKUP($A344,祝日!$A:$C,3,FALSE)
  ),
  ""
)</f>
        <v/>
      </c>
    </row>
    <row r="345" spans="1:4" ht="15.75" x14ac:dyDescent="0.25">
      <c r="A345" s="35">
        <v>44174</v>
      </c>
      <c r="B345" s="60">
        <f>IF(OR(5&lt;WEEKDAY(A345,2),0&lt;COUNTIF(祝日!A:A,A345)),0,8)</f>
        <v>8</v>
      </c>
      <c r="C345" s="36" t="str">
        <f>IFERROR(
  IF(
    VLOOKUP($A345,祝日!$A:$C,2,FALSE)="",
    "",
    VLOOKUP($A345,祝日!$A:$C,2,FALSE)
  ),
  ""
)</f>
        <v/>
      </c>
      <c r="D345" s="36" t="str">
        <f>IFERROR(
  IF(
    VLOOKUP($A345,祝日!$A:$C,3,FALSE)="",
    "",
    VLOOKUP($A345,祝日!$A:$C,3,FALSE)
  ),
  ""
)</f>
        <v/>
      </c>
    </row>
    <row r="346" spans="1:4" ht="15.75" x14ac:dyDescent="0.25">
      <c r="A346" s="35">
        <v>44175</v>
      </c>
      <c r="B346" s="60">
        <f>IF(OR(5&lt;WEEKDAY(A346,2),0&lt;COUNTIF(祝日!A:A,A346)),0,8)</f>
        <v>8</v>
      </c>
      <c r="C346" s="36" t="str">
        <f>IFERROR(
  IF(
    VLOOKUP($A346,祝日!$A:$C,2,FALSE)="",
    "",
    VLOOKUP($A346,祝日!$A:$C,2,FALSE)
  ),
  ""
)</f>
        <v/>
      </c>
      <c r="D346" s="36" t="str">
        <f>IFERROR(
  IF(
    VLOOKUP($A346,祝日!$A:$C,3,FALSE)="",
    "",
    VLOOKUP($A346,祝日!$A:$C,3,FALSE)
  ),
  ""
)</f>
        <v/>
      </c>
    </row>
    <row r="347" spans="1:4" ht="15.75" x14ac:dyDescent="0.25">
      <c r="A347" s="35">
        <v>44176</v>
      </c>
      <c r="B347" s="60">
        <f>IF(OR(5&lt;WEEKDAY(A347,2),0&lt;COUNTIF(祝日!A:A,A347)),0,8)</f>
        <v>8</v>
      </c>
      <c r="C347" s="36" t="str">
        <f>IFERROR(
  IF(
    VLOOKUP($A347,祝日!$A:$C,2,FALSE)="",
    "",
    VLOOKUP($A347,祝日!$A:$C,2,FALSE)
  ),
  ""
)</f>
        <v/>
      </c>
      <c r="D347" s="36" t="str">
        <f>IFERROR(
  IF(
    VLOOKUP($A347,祝日!$A:$C,3,FALSE)="",
    "",
    VLOOKUP($A347,祝日!$A:$C,3,FALSE)
  ),
  ""
)</f>
        <v/>
      </c>
    </row>
    <row r="348" spans="1:4" ht="15.75" x14ac:dyDescent="0.25">
      <c r="A348" s="35">
        <v>44177</v>
      </c>
      <c r="B348" s="60">
        <f>IF(OR(5&lt;WEEKDAY(A348,2),0&lt;COUNTIF(祝日!A:A,A348)),0,8)</f>
        <v>0</v>
      </c>
      <c r="C348" s="36" t="str">
        <f>IFERROR(
  IF(
    VLOOKUP($A348,祝日!$A:$C,2,FALSE)="",
    "",
    VLOOKUP($A348,祝日!$A:$C,2,FALSE)
  ),
  ""
)</f>
        <v/>
      </c>
      <c r="D348" s="36" t="str">
        <f>IFERROR(
  IF(
    VLOOKUP($A348,祝日!$A:$C,3,FALSE)="",
    "",
    VLOOKUP($A348,祝日!$A:$C,3,FALSE)
  ),
  ""
)</f>
        <v/>
      </c>
    </row>
    <row r="349" spans="1:4" ht="15.75" x14ac:dyDescent="0.25">
      <c r="A349" s="35">
        <v>44178</v>
      </c>
      <c r="B349" s="60">
        <f>IF(OR(5&lt;WEEKDAY(A349,2),0&lt;COUNTIF(祝日!A:A,A349)),0,8)</f>
        <v>0</v>
      </c>
      <c r="C349" s="36" t="str">
        <f>IFERROR(
  IF(
    VLOOKUP($A349,祝日!$A:$C,2,FALSE)="",
    "",
    VLOOKUP($A349,祝日!$A:$C,2,FALSE)
  ),
  ""
)</f>
        <v/>
      </c>
      <c r="D349" s="36" t="str">
        <f>IFERROR(
  IF(
    VLOOKUP($A349,祝日!$A:$C,3,FALSE)="",
    "",
    VLOOKUP($A349,祝日!$A:$C,3,FALSE)
  ),
  ""
)</f>
        <v/>
      </c>
    </row>
    <row r="350" spans="1:4" ht="15.75" x14ac:dyDescent="0.25">
      <c r="A350" s="35">
        <v>44179</v>
      </c>
      <c r="B350" s="60">
        <f>IF(OR(5&lt;WEEKDAY(A350,2),0&lt;COUNTIF(祝日!A:A,A350)),0,8)</f>
        <v>8</v>
      </c>
      <c r="C350" s="36" t="str">
        <f>IFERROR(
  IF(
    VLOOKUP($A350,祝日!$A:$C,2,FALSE)="",
    "",
    VLOOKUP($A350,祝日!$A:$C,2,FALSE)
  ),
  ""
)</f>
        <v/>
      </c>
      <c r="D350" s="36" t="str">
        <f>IFERROR(
  IF(
    VLOOKUP($A350,祝日!$A:$C,3,FALSE)="",
    "",
    VLOOKUP($A350,祝日!$A:$C,3,FALSE)
  ),
  ""
)</f>
        <v/>
      </c>
    </row>
    <row r="351" spans="1:4" ht="15.75" x14ac:dyDescent="0.25">
      <c r="A351" s="35">
        <v>44180</v>
      </c>
      <c r="B351" s="60">
        <f>IF(OR(5&lt;WEEKDAY(A351,2),0&lt;COUNTIF(祝日!A:A,A351)),0,8)</f>
        <v>8</v>
      </c>
      <c r="C351" s="36" t="str">
        <f>IFERROR(
  IF(
    VLOOKUP($A351,祝日!$A:$C,2,FALSE)="",
    "",
    VLOOKUP($A351,祝日!$A:$C,2,FALSE)
  ),
  ""
)</f>
        <v/>
      </c>
      <c r="D351" s="36" t="str">
        <f>IFERROR(
  IF(
    VLOOKUP($A351,祝日!$A:$C,3,FALSE)="",
    "",
    VLOOKUP($A351,祝日!$A:$C,3,FALSE)
  ),
  ""
)</f>
        <v/>
      </c>
    </row>
    <row r="352" spans="1:4" ht="15.75" x14ac:dyDescent="0.25">
      <c r="A352" s="35">
        <v>44181</v>
      </c>
      <c r="B352" s="60">
        <f>IF(OR(5&lt;WEEKDAY(A352,2),0&lt;COUNTIF(祝日!A:A,A352)),0,8)</f>
        <v>8</v>
      </c>
      <c r="C352" s="36" t="str">
        <f>IFERROR(
  IF(
    VLOOKUP($A352,祝日!$A:$C,2,FALSE)="",
    "",
    VLOOKUP($A352,祝日!$A:$C,2,FALSE)
  ),
  ""
)</f>
        <v/>
      </c>
      <c r="D352" s="36" t="str">
        <f>IFERROR(
  IF(
    VLOOKUP($A352,祝日!$A:$C,3,FALSE)="",
    "",
    VLOOKUP($A352,祝日!$A:$C,3,FALSE)
  ),
  ""
)</f>
        <v/>
      </c>
    </row>
    <row r="353" spans="1:4" ht="15.75" x14ac:dyDescent="0.25">
      <c r="A353" s="35">
        <v>44182</v>
      </c>
      <c r="B353" s="60">
        <f>IF(OR(5&lt;WEEKDAY(A353,2),0&lt;COUNTIF(祝日!A:A,A353)),0,8)</f>
        <v>8</v>
      </c>
      <c r="C353" s="36" t="str">
        <f>IFERROR(
  IF(
    VLOOKUP($A353,祝日!$A:$C,2,FALSE)="",
    "",
    VLOOKUP($A353,祝日!$A:$C,2,FALSE)
  ),
  ""
)</f>
        <v/>
      </c>
      <c r="D353" s="36" t="str">
        <f>IFERROR(
  IF(
    VLOOKUP($A353,祝日!$A:$C,3,FALSE)="",
    "",
    VLOOKUP($A353,祝日!$A:$C,3,FALSE)
  ),
  ""
)</f>
        <v/>
      </c>
    </row>
    <row r="354" spans="1:4" ht="15.75" x14ac:dyDescent="0.25">
      <c r="A354" s="35">
        <v>44183</v>
      </c>
      <c r="B354" s="60">
        <f>IF(OR(5&lt;WEEKDAY(A354,2),0&lt;COUNTIF(祝日!A:A,A354)),0,8)</f>
        <v>8</v>
      </c>
      <c r="C354" s="36" t="str">
        <f>IFERROR(
  IF(
    VLOOKUP($A354,祝日!$A:$C,2,FALSE)="",
    "",
    VLOOKUP($A354,祝日!$A:$C,2,FALSE)
  ),
  ""
)</f>
        <v/>
      </c>
      <c r="D354" s="36" t="str">
        <f>IFERROR(
  IF(
    VLOOKUP($A354,祝日!$A:$C,3,FALSE)="",
    "",
    VLOOKUP($A354,祝日!$A:$C,3,FALSE)
  ),
  ""
)</f>
        <v/>
      </c>
    </row>
    <row r="355" spans="1:4" ht="15.75" x14ac:dyDescent="0.25">
      <c r="A355" s="35">
        <v>44184</v>
      </c>
      <c r="B355" s="60">
        <f>IF(OR(5&lt;WEEKDAY(A355,2),0&lt;COUNTIF(祝日!A:A,A355)),0,8)</f>
        <v>0</v>
      </c>
      <c r="C355" s="36" t="str">
        <f>IFERROR(
  IF(
    VLOOKUP($A355,祝日!$A:$C,2,FALSE)="",
    "",
    VLOOKUP($A355,祝日!$A:$C,2,FALSE)
  ),
  ""
)</f>
        <v/>
      </c>
      <c r="D355" s="36" t="str">
        <f>IFERROR(
  IF(
    VLOOKUP($A355,祝日!$A:$C,3,FALSE)="",
    "",
    VLOOKUP($A355,祝日!$A:$C,3,FALSE)
  ),
  ""
)</f>
        <v/>
      </c>
    </row>
    <row r="356" spans="1:4" ht="15.75" x14ac:dyDescent="0.25">
      <c r="A356" s="35">
        <v>44185</v>
      </c>
      <c r="B356" s="60">
        <f>IF(OR(5&lt;WEEKDAY(A356,2),0&lt;COUNTIF(祝日!A:A,A356)),0,8)</f>
        <v>0</v>
      </c>
      <c r="C356" s="36" t="str">
        <f>IFERROR(
  IF(
    VLOOKUP($A356,祝日!$A:$C,2,FALSE)="",
    "",
    VLOOKUP($A356,祝日!$A:$C,2,FALSE)
  ),
  ""
)</f>
        <v/>
      </c>
      <c r="D356" s="36" t="str">
        <f>IFERROR(
  IF(
    VLOOKUP($A356,祝日!$A:$C,3,FALSE)="",
    "",
    VLOOKUP($A356,祝日!$A:$C,3,FALSE)
  ),
  ""
)</f>
        <v/>
      </c>
    </row>
    <row r="357" spans="1:4" ht="15.75" x14ac:dyDescent="0.25">
      <c r="A357" s="35">
        <v>44186</v>
      </c>
      <c r="B357" s="60">
        <f>IF(OR(5&lt;WEEKDAY(A357,2),0&lt;COUNTIF(祝日!A:A,A357)),0,8)</f>
        <v>8</v>
      </c>
      <c r="C357" s="36" t="str">
        <f>IFERROR(
  IF(
    VLOOKUP($A357,祝日!$A:$C,2,FALSE)="",
    "",
    VLOOKUP($A357,祝日!$A:$C,2,FALSE)
  ),
  ""
)</f>
        <v/>
      </c>
      <c r="D357" s="36" t="str">
        <f>IFERROR(
  IF(
    VLOOKUP($A357,祝日!$A:$C,3,FALSE)="",
    "",
    VLOOKUP($A357,祝日!$A:$C,3,FALSE)
  ),
  ""
)</f>
        <v/>
      </c>
    </row>
    <row r="358" spans="1:4" ht="15.75" x14ac:dyDescent="0.25">
      <c r="A358" s="35">
        <v>44187</v>
      </c>
      <c r="B358" s="60">
        <f>IF(OR(5&lt;WEEKDAY(A358,2),0&lt;COUNTIF(祝日!A:A,A358)),0,8)</f>
        <v>8</v>
      </c>
      <c r="C358" s="36" t="str">
        <f>IFERROR(
  IF(
    VLOOKUP($A358,祝日!$A:$C,2,FALSE)="",
    "",
    VLOOKUP($A358,祝日!$A:$C,2,FALSE)
  ),
  ""
)</f>
        <v/>
      </c>
      <c r="D358" s="36" t="str">
        <f>IFERROR(
  IF(
    VLOOKUP($A358,祝日!$A:$C,3,FALSE)="",
    "",
    VLOOKUP($A358,祝日!$A:$C,3,FALSE)
  ),
  ""
)</f>
        <v/>
      </c>
    </row>
    <row r="359" spans="1:4" ht="15.75" x14ac:dyDescent="0.25">
      <c r="A359" s="35">
        <v>44188</v>
      </c>
      <c r="B359" s="60">
        <f>IF(OR(5&lt;WEEKDAY(A359,2),0&lt;COUNTIF(祝日!A:A,A359)),0,8)</f>
        <v>8</v>
      </c>
      <c r="C359" s="36" t="str">
        <f>IFERROR(
  IF(
    VLOOKUP($A359,祝日!$A:$C,2,FALSE)="",
    "",
    VLOOKUP($A359,祝日!$A:$C,2,FALSE)
  ),
  ""
)</f>
        <v/>
      </c>
      <c r="D359" s="36" t="str">
        <f>IFERROR(
  IF(
    VLOOKUP($A359,祝日!$A:$C,3,FALSE)="",
    "",
    VLOOKUP($A359,祝日!$A:$C,3,FALSE)
  ),
  ""
)</f>
        <v/>
      </c>
    </row>
    <row r="360" spans="1:4" ht="15.75" x14ac:dyDescent="0.25">
      <c r="A360" s="35">
        <v>44189</v>
      </c>
      <c r="B360" s="60">
        <f>IF(OR(5&lt;WEEKDAY(A360,2),0&lt;COUNTIF(祝日!A:A,A360)),0,8)</f>
        <v>8</v>
      </c>
      <c r="C360" s="36" t="str">
        <f>IFERROR(
  IF(
    VLOOKUP($A360,祝日!$A:$C,2,FALSE)="",
    "",
    VLOOKUP($A360,祝日!$A:$C,2,FALSE)
  ),
  ""
)</f>
        <v/>
      </c>
      <c r="D360" s="36" t="str">
        <f>IFERROR(
  IF(
    VLOOKUP($A360,祝日!$A:$C,3,FALSE)="",
    "",
    VLOOKUP($A360,祝日!$A:$C,3,FALSE)
  ),
  ""
)</f>
        <v/>
      </c>
    </row>
    <row r="361" spans="1:4" ht="15.75" x14ac:dyDescent="0.25">
      <c r="A361" s="35">
        <v>44190</v>
      </c>
      <c r="B361" s="60">
        <f>IF(OR(5&lt;WEEKDAY(A361,2),0&lt;COUNTIF(祝日!A:A,A361)),0,8)</f>
        <v>8</v>
      </c>
      <c r="C361" s="36" t="str">
        <f>IFERROR(
  IF(
    VLOOKUP($A361,祝日!$A:$C,2,FALSE)="",
    "",
    VLOOKUP($A361,祝日!$A:$C,2,FALSE)
  ),
  ""
)</f>
        <v/>
      </c>
      <c r="D361" s="36" t="str">
        <f>IFERROR(
  IF(
    VLOOKUP($A361,祝日!$A:$C,3,FALSE)="",
    "",
    VLOOKUP($A361,祝日!$A:$C,3,FALSE)
  ),
  ""
)</f>
        <v/>
      </c>
    </row>
    <row r="362" spans="1:4" ht="15.75" x14ac:dyDescent="0.25">
      <c r="A362" s="35">
        <v>44191</v>
      </c>
      <c r="B362" s="60">
        <f>IF(OR(5&lt;WEEKDAY(A362,2),0&lt;COUNTIF(祝日!A:A,A362)),0,8)</f>
        <v>0</v>
      </c>
      <c r="C362" s="36" t="str">
        <f>IFERROR(
  IF(
    VLOOKUP($A362,祝日!$A:$C,2,FALSE)="",
    "",
    VLOOKUP($A362,祝日!$A:$C,2,FALSE)
  ),
  ""
)</f>
        <v/>
      </c>
      <c r="D362" s="36" t="str">
        <f>IFERROR(
  IF(
    VLOOKUP($A362,祝日!$A:$C,3,FALSE)="",
    "",
    VLOOKUP($A362,祝日!$A:$C,3,FALSE)
  ),
  ""
)</f>
        <v/>
      </c>
    </row>
    <row r="363" spans="1:4" ht="15.75" x14ac:dyDescent="0.25">
      <c r="A363" s="35">
        <v>44192</v>
      </c>
      <c r="B363" s="60">
        <f>IF(OR(5&lt;WEEKDAY(A363,2),0&lt;COUNTIF(祝日!A:A,A363)),0,8)</f>
        <v>0</v>
      </c>
      <c r="C363" s="36" t="str">
        <f>IFERROR(
  IF(
    VLOOKUP($A363,祝日!$A:$C,2,FALSE)="",
    "",
    VLOOKUP($A363,祝日!$A:$C,2,FALSE)
  ),
  ""
)</f>
        <v/>
      </c>
      <c r="D363" s="36" t="str">
        <f>IFERROR(
  IF(
    VLOOKUP($A363,祝日!$A:$C,3,FALSE)="",
    "",
    VLOOKUP($A363,祝日!$A:$C,3,FALSE)
  ),
  ""
)</f>
        <v/>
      </c>
    </row>
    <row r="364" spans="1:4" ht="15.75" x14ac:dyDescent="0.25">
      <c r="A364" s="35">
        <v>44193</v>
      </c>
      <c r="B364" s="60">
        <f>IF(OR(5&lt;WEEKDAY(A364,2),0&lt;COUNTIF(祝日!A:A,A364)),0,8)</f>
        <v>8</v>
      </c>
      <c r="C364" s="36" t="str">
        <f>IFERROR(
  IF(
    VLOOKUP($A364,祝日!$A:$C,2,FALSE)="",
    "",
    VLOOKUP($A364,祝日!$A:$C,2,FALSE)
  ),
  ""
)</f>
        <v/>
      </c>
      <c r="D364" s="36" t="str">
        <f>IFERROR(
  IF(
    VLOOKUP($A364,祝日!$A:$C,3,FALSE)="",
    "",
    VLOOKUP($A364,祝日!$A:$C,3,FALSE)
  ),
  ""
)</f>
        <v/>
      </c>
    </row>
    <row r="365" spans="1:4" ht="15.75" x14ac:dyDescent="0.25">
      <c r="A365" s="35">
        <v>44194</v>
      </c>
      <c r="B365" s="60">
        <f>IF(OR(5&lt;WEEKDAY(A365,2),0&lt;COUNTIF(祝日!A:A,A365)),0,8)</f>
        <v>8</v>
      </c>
      <c r="C365" s="36" t="str">
        <f>IFERROR(
  IF(
    VLOOKUP($A365,祝日!$A:$C,2,FALSE)="",
    "",
    VLOOKUP($A365,祝日!$A:$C,2,FALSE)
  ),
  ""
)</f>
        <v/>
      </c>
      <c r="D365" s="36" t="str">
        <f>IFERROR(
  IF(
    VLOOKUP($A365,祝日!$A:$C,3,FALSE)="",
    "",
    VLOOKUP($A365,祝日!$A:$C,3,FALSE)
  ),
  ""
)</f>
        <v/>
      </c>
    </row>
    <row r="366" spans="1:4" ht="15.75" x14ac:dyDescent="0.25">
      <c r="A366" s="35">
        <v>44195</v>
      </c>
      <c r="B366" s="60">
        <f>IF(OR(5&lt;WEEKDAY(A366,2),0&lt;COUNTIF(祝日!A:A,A366)),0,8)</f>
        <v>8</v>
      </c>
      <c r="C366" s="36" t="str">
        <f>IFERROR(
  IF(
    VLOOKUP($A366,祝日!$A:$C,2,FALSE)="",
    "",
    VLOOKUP($A366,祝日!$A:$C,2,FALSE)
  ),
  ""
)</f>
        <v/>
      </c>
      <c r="D366" s="36" t="str">
        <f>IFERROR(
  IF(
    VLOOKUP($A366,祝日!$A:$C,3,FALSE)="",
    "",
    VLOOKUP($A366,祝日!$A:$C,3,FALSE)
  ),
  ""
)</f>
        <v/>
      </c>
    </row>
    <row r="367" spans="1:4" ht="15.75" x14ac:dyDescent="0.25">
      <c r="A367" s="35">
        <v>44196</v>
      </c>
      <c r="B367" s="60">
        <f>IF(OR(5&lt;WEEKDAY(A367,2),0&lt;COUNTIF(祝日!A:A,A367)),0,8)</f>
        <v>8</v>
      </c>
      <c r="C367" s="36" t="str">
        <f>IFERROR(
  IF(
    VLOOKUP($A367,祝日!$A:$C,2,FALSE)="",
    "",
    VLOOKUP($A367,祝日!$A:$C,2,FALSE)
  ),
  ""
)</f>
        <v/>
      </c>
      <c r="D367" s="36" t="str">
        <f>IFERROR(
  IF(
    VLOOKUP($A367,祝日!$A:$C,3,FALSE)="",
    "",
    VLOOKUP($A367,祝日!$A:$C,3,FALSE)
  ),
  ""
)</f>
        <v/>
      </c>
    </row>
    <row r="368" spans="1:4" ht="15.75" x14ac:dyDescent="0.25">
      <c r="A368" s="35"/>
      <c r="B368" s="35"/>
    </row>
    <row r="369" spans="1:2" ht="15.75" x14ac:dyDescent="0.25">
      <c r="A369" s="35"/>
      <c r="B369" s="35"/>
    </row>
    <row r="370" spans="1:2" ht="15.75" x14ac:dyDescent="0.25">
      <c r="A370" s="35"/>
      <c r="B370" s="35"/>
    </row>
    <row r="371" spans="1:2" ht="15.75" x14ac:dyDescent="0.25">
      <c r="A371" s="35"/>
      <c r="B371" s="35"/>
    </row>
    <row r="372" spans="1:2" ht="15.75" x14ac:dyDescent="0.25">
      <c r="A372" s="35"/>
      <c r="B372" s="35"/>
    </row>
    <row r="373" spans="1:2" ht="15.75" x14ac:dyDescent="0.25">
      <c r="A373" s="35"/>
      <c r="B373" s="35"/>
    </row>
    <row r="374" spans="1:2" ht="15.75" x14ac:dyDescent="0.25">
      <c r="A374" s="35"/>
      <c r="B374" s="35"/>
    </row>
    <row r="375" spans="1:2" ht="15.75" x14ac:dyDescent="0.25">
      <c r="A375" s="35"/>
      <c r="B375" s="35"/>
    </row>
    <row r="376" spans="1:2" ht="15.75" x14ac:dyDescent="0.25">
      <c r="A376" s="35"/>
      <c r="B376" s="35"/>
    </row>
    <row r="377" spans="1:2" ht="15.75" x14ac:dyDescent="0.25">
      <c r="A377" s="35"/>
      <c r="B377" s="35"/>
    </row>
    <row r="378" spans="1:2" ht="15.75" x14ac:dyDescent="0.25">
      <c r="A378" s="35"/>
      <c r="B378" s="35"/>
    </row>
    <row r="379" spans="1:2" ht="15.75" x14ac:dyDescent="0.25">
      <c r="A379" s="35"/>
      <c r="B379" s="35"/>
    </row>
    <row r="380" spans="1:2" ht="15.75" x14ac:dyDescent="0.25">
      <c r="A380" s="35"/>
      <c r="B380" s="35"/>
    </row>
    <row r="381" spans="1:2" ht="15.75" x14ac:dyDescent="0.25">
      <c r="A381" s="35"/>
      <c r="B381" s="35"/>
    </row>
    <row r="382" spans="1:2" ht="15.75" x14ac:dyDescent="0.25">
      <c r="A382" s="35"/>
      <c r="B382" s="35"/>
    </row>
    <row r="383" spans="1:2" ht="15.75" x14ac:dyDescent="0.25">
      <c r="A383" s="35"/>
      <c r="B383" s="35"/>
    </row>
    <row r="384" spans="1:2" ht="15.75" x14ac:dyDescent="0.25">
      <c r="A384" s="35"/>
      <c r="B384" s="35"/>
    </row>
    <row r="385" spans="1:2" ht="15.75" x14ac:dyDescent="0.25">
      <c r="A385" s="35"/>
      <c r="B385" s="35"/>
    </row>
    <row r="386" spans="1:2" ht="15.75" x14ac:dyDescent="0.25">
      <c r="A386" s="35"/>
      <c r="B386" s="35"/>
    </row>
    <row r="387" spans="1:2" ht="15.75" x14ac:dyDescent="0.25">
      <c r="A387" s="35"/>
      <c r="B387" s="35"/>
    </row>
    <row r="388" spans="1:2" ht="15.75" x14ac:dyDescent="0.25">
      <c r="A388" s="35"/>
      <c r="B388" s="35"/>
    </row>
    <row r="389" spans="1:2" ht="15.75" x14ac:dyDescent="0.25">
      <c r="A389" s="35"/>
      <c r="B389" s="35"/>
    </row>
    <row r="390" spans="1:2" ht="15.75" x14ac:dyDescent="0.25">
      <c r="A390" s="35"/>
      <c r="B390" s="35"/>
    </row>
    <row r="391" spans="1:2" ht="15.75" x14ac:dyDescent="0.25">
      <c r="A391" s="35"/>
      <c r="B391" s="35"/>
    </row>
    <row r="392" spans="1:2" ht="15.75" x14ac:dyDescent="0.25">
      <c r="A392" s="35"/>
      <c r="B392" s="35"/>
    </row>
    <row r="393" spans="1:2" ht="15.75" x14ac:dyDescent="0.25">
      <c r="A393" s="35"/>
      <c r="B393" s="35"/>
    </row>
    <row r="394" spans="1:2" ht="15.75" x14ac:dyDescent="0.25">
      <c r="A394" s="35"/>
      <c r="B394" s="35"/>
    </row>
    <row r="395" spans="1:2" ht="15.75" x14ac:dyDescent="0.25">
      <c r="A395" s="35"/>
      <c r="B395" s="35"/>
    </row>
    <row r="396" spans="1:2" ht="15.75" x14ac:dyDescent="0.25">
      <c r="A396" s="35"/>
      <c r="B396" s="35"/>
    </row>
    <row r="397" spans="1:2" ht="15.75" x14ac:dyDescent="0.25">
      <c r="A397" s="35"/>
      <c r="B397" s="35"/>
    </row>
    <row r="398" spans="1:2" ht="15.75" x14ac:dyDescent="0.25">
      <c r="A398" s="35"/>
      <c r="B398" s="35"/>
    </row>
    <row r="399" spans="1:2" ht="15.75" x14ac:dyDescent="0.25">
      <c r="A399" s="35"/>
      <c r="B399" s="35"/>
    </row>
    <row r="400" spans="1:2" ht="15.75" x14ac:dyDescent="0.25">
      <c r="A400" s="35"/>
      <c r="B400" s="35"/>
    </row>
    <row r="401" spans="1:2" ht="15.75" x14ac:dyDescent="0.25">
      <c r="A401" s="35"/>
      <c r="B401" s="35"/>
    </row>
    <row r="402" spans="1:2" ht="15.75" x14ac:dyDescent="0.25">
      <c r="A402" s="35"/>
      <c r="B402" s="35"/>
    </row>
    <row r="403" spans="1:2" ht="15.75" x14ac:dyDescent="0.25">
      <c r="A403" s="35"/>
      <c r="B403" s="35"/>
    </row>
    <row r="404" spans="1:2" ht="15.75" x14ac:dyDescent="0.25">
      <c r="A404" s="35"/>
      <c r="B404" s="35"/>
    </row>
    <row r="405" spans="1:2" ht="15.75" x14ac:dyDescent="0.25">
      <c r="A405" s="35"/>
      <c r="B405" s="35"/>
    </row>
    <row r="406" spans="1:2" ht="15.75" x14ac:dyDescent="0.25">
      <c r="A406" s="35"/>
      <c r="B406" s="35"/>
    </row>
    <row r="407" spans="1:2" ht="15.75" x14ac:dyDescent="0.25">
      <c r="A407" s="35"/>
      <c r="B407" s="35"/>
    </row>
    <row r="408" spans="1:2" ht="15.75" x14ac:dyDescent="0.25">
      <c r="A408" s="35"/>
      <c r="B408" s="35"/>
    </row>
    <row r="409" spans="1:2" ht="15.75" x14ac:dyDescent="0.25">
      <c r="A409" s="35"/>
      <c r="B409" s="35"/>
    </row>
    <row r="410" spans="1:2" ht="15.75" x14ac:dyDescent="0.25">
      <c r="A410" s="35"/>
      <c r="B410" s="35"/>
    </row>
    <row r="411" spans="1:2" ht="15.75" x14ac:dyDescent="0.25">
      <c r="A411" s="35"/>
      <c r="B411" s="35"/>
    </row>
    <row r="412" spans="1:2" ht="15.75" x14ac:dyDescent="0.25">
      <c r="A412" s="35"/>
      <c r="B412" s="35"/>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C59BE941-FFA2-4E6D-BF09-9056AC454FF2}">
            <xm:f>OR(5&lt;WEEKDAY($A2,2),0&lt;COUNTIF(祝日!$A:$A,$A2))</xm:f>
            <x14:dxf>
              <font>
                <color theme="0"/>
              </font>
              <fill>
                <patternFill>
                  <bgColor rgb="FFFF0000"/>
                </patternFill>
              </fill>
            </x14:dxf>
          </x14:cfRule>
          <xm:sqref>A2:B367</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9AEF5-2543-49A7-8D14-41DAE437712E}">
  <sheetPr codeName="Sheet6"/>
  <dimension ref="A1:D412"/>
  <sheetViews>
    <sheetView zoomScale="85" zoomScaleNormal="85" workbookViewId="0">
      <pane ySplit="1" topLeftCell="A2" activePane="bottomLeft" state="frozen"/>
      <selection pane="bottomLeft" activeCell="A2" sqref="A2"/>
    </sheetView>
  </sheetViews>
  <sheetFormatPr defaultRowHeight="13.5" x14ac:dyDescent="0.25"/>
  <cols>
    <col min="1" max="1" width="15.77734375" style="33" customWidth="1"/>
    <col min="2" max="2" width="8" style="33" bestFit="1" customWidth="1"/>
    <col min="3" max="3" width="12.21875" style="37" bestFit="1" customWidth="1"/>
    <col min="4" max="4" width="22.109375" style="37" bestFit="1" customWidth="1"/>
    <col min="5" max="16384" width="8.88671875" style="34"/>
  </cols>
  <sheetData>
    <row r="1" spans="1:4" ht="15.75" x14ac:dyDescent="0.25">
      <c r="A1" s="38"/>
      <c r="B1" s="38" t="s">
        <v>67</v>
      </c>
      <c r="C1" s="38" t="s">
        <v>59</v>
      </c>
      <c r="D1" s="38" t="s">
        <v>60</v>
      </c>
    </row>
    <row r="2" spans="1:4" ht="15.75" x14ac:dyDescent="0.25">
      <c r="A2" s="35">
        <v>43831</v>
      </c>
      <c r="B2" s="60">
        <f>IF(OR(5&lt;WEEKDAY(A2,2)),0,8)</f>
        <v>8</v>
      </c>
      <c r="C2" s="36" t="str">
        <f>IFERROR(
  IF(
    VLOOKUP($A2,祝日!$A:$C,2,FALSE)="",
    "",
    VLOOKUP($A2,祝日!$A:$C,2,FALSE)
  ),
  ""
)</f>
        <v xml:space="preserve">元日 </v>
      </c>
      <c r="D2" s="36" t="str">
        <f>IFERROR(
  IF(
    VLOOKUP($A2,祝日!$A:$C,3,FALSE)="",
    "",
    VLOOKUP($A2,祝日!$A:$C,3,FALSE)
  ),
  ""
)</f>
        <v/>
      </c>
    </row>
    <row r="3" spans="1:4" ht="15.75" x14ac:dyDescent="0.25">
      <c r="A3" s="35">
        <v>43832</v>
      </c>
      <c r="B3" s="60">
        <f t="shared" ref="B3:B66" si="0">IF(OR(5&lt;WEEKDAY(A3,2)),0,8)</f>
        <v>8</v>
      </c>
      <c r="C3" s="36" t="str">
        <f>IFERROR(
  IF(
    VLOOKUP($A3,祝日!$A:$C,2,FALSE)="",
    "",
    VLOOKUP($A3,祝日!$A:$C,2,FALSE)
  ),
  ""
)</f>
        <v/>
      </c>
      <c r="D3" s="36" t="str">
        <f>IFERROR(
  IF(
    VLOOKUP($A3,祝日!$A:$C,3,FALSE)="",
    "",
    VLOOKUP($A3,祝日!$A:$C,3,FALSE)
  ),
  ""
)</f>
        <v/>
      </c>
    </row>
    <row r="4" spans="1:4" ht="15.75" x14ac:dyDescent="0.25">
      <c r="A4" s="35">
        <v>43833</v>
      </c>
      <c r="B4" s="60">
        <f t="shared" si="0"/>
        <v>8</v>
      </c>
      <c r="C4" s="36" t="str">
        <f>IFERROR(
  IF(
    VLOOKUP($A4,祝日!$A:$C,2,FALSE)="",
    "",
    VLOOKUP($A4,祝日!$A:$C,2,FALSE)
  ),
  ""
)</f>
        <v/>
      </c>
      <c r="D4" s="36" t="str">
        <f>IFERROR(
  IF(
    VLOOKUP($A4,祝日!$A:$C,3,FALSE)="",
    "",
    VLOOKUP($A4,祝日!$A:$C,3,FALSE)
  ),
  ""
)</f>
        <v/>
      </c>
    </row>
    <row r="5" spans="1:4" ht="15.75" x14ac:dyDescent="0.25">
      <c r="A5" s="35">
        <v>43834</v>
      </c>
      <c r="B5" s="60">
        <f t="shared" si="0"/>
        <v>0</v>
      </c>
      <c r="C5" s="36" t="str">
        <f>IFERROR(
  IF(
    VLOOKUP($A5,祝日!$A:$C,2,FALSE)="",
    "",
    VLOOKUP($A5,祝日!$A:$C,2,FALSE)
  ),
  ""
)</f>
        <v/>
      </c>
      <c r="D5" s="36" t="str">
        <f>IFERROR(
  IF(
    VLOOKUP($A5,祝日!$A:$C,3,FALSE)="",
    "",
    VLOOKUP($A5,祝日!$A:$C,3,FALSE)
  ),
  ""
)</f>
        <v/>
      </c>
    </row>
    <row r="6" spans="1:4" ht="15.75" x14ac:dyDescent="0.25">
      <c r="A6" s="35">
        <v>43835</v>
      </c>
      <c r="B6" s="60">
        <f t="shared" si="0"/>
        <v>0</v>
      </c>
      <c r="C6" s="36" t="str">
        <f>IFERROR(
  IF(
    VLOOKUP($A6,祝日!$A:$C,2,FALSE)="",
    "",
    VLOOKUP($A6,祝日!$A:$C,2,FALSE)
  ),
  ""
)</f>
        <v/>
      </c>
      <c r="D6" s="36" t="str">
        <f>IFERROR(
  IF(
    VLOOKUP($A6,祝日!$A:$C,3,FALSE)="",
    "",
    VLOOKUP($A6,祝日!$A:$C,3,FALSE)
  ),
  ""
)</f>
        <v/>
      </c>
    </row>
    <row r="7" spans="1:4" ht="15.75" x14ac:dyDescent="0.25">
      <c r="A7" s="35">
        <v>43836</v>
      </c>
      <c r="B7" s="60">
        <f t="shared" si="0"/>
        <v>8</v>
      </c>
      <c r="C7" s="36" t="str">
        <f>IFERROR(
  IF(
    VLOOKUP($A7,祝日!$A:$C,2,FALSE)="",
    "",
    VLOOKUP($A7,祝日!$A:$C,2,FALSE)
  ),
  ""
)</f>
        <v/>
      </c>
      <c r="D7" s="36" t="str">
        <f>IFERROR(
  IF(
    VLOOKUP($A7,祝日!$A:$C,3,FALSE)="",
    "",
    VLOOKUP($A7,祝日!$A:$C,3,FALSE)
  ),
  ""
)</f>
        <v/>
      </c>
    </row>
    <row r="8" spans="1:4" ht="15.75" x14ac:dyDescent="0.25">
      <c r="A8" s="35">
        <v>43837</v>
      </c>
      <c r="B8" s="60">
        <f t="shared" si="0"/>
        <v>8</v>
      </c>
      <c r="C8" s="36" t="str">
        <f>IFERROR(
  IF(
    VLOOKUP($A8,祝日!$A:$C,2,FALSE)="",
    "",
    VLOOKUP($A8,祝日!$A:$C,2,FALSE)
  ),
  ""
)</f>
        <v/>
      </c>
      <c r="D8" s="36" t="str">
        <f>IFERROR(
  IF(
    VLOOKUP($A8,祝日!$A:$C,3,FALSE)="",
    "",
    VLOOKUP($A8,祝日!$A:$C,3,FALSE)
  ),
  ""
)</f>
        <v/>
      </c>
    </row>
    <row r="9" spans="1:4" ht="15.75" x14ac:dyDescent="0.25">
      <c r="A9" s="35">
        <v>43838</v>
      </c>
      <c r="B9" s="60">
        <f t="shared" si="0"/>
        <v>8</v>
      </c>
      <c r="C9" s="36" t="str">
        <f>IFERROR(
  IF(
    VLOOKUP($A9,祝日!$A:$C,2,FALSE)="",
    "",
    VLOOKUP($A9,祝日!$A:$C,2,FALSE)
  ),
  ""
)</f>
        <v/>
      </c>
      <c r="D9" s="36" t="str">
        <f>IFERROR(
  IF(
    VLOOKUP($A9,祝日!$A:$C,3,FALSE)="",
    "",
    VLOOKUP($A9,祝日!$A:$C,3,FALSE)
  ),
  ""
)</f>
        <v/>
      </c>
    </row>
    <row r="10" spans="1:4" ht="15.75" x14ac:dyDescent="0.25">
      <c r="A10" s="35">
        <v>43839</v>
      </c>
      <c r="B10" s="60">
        <f t="shared" si="0"/>
        <v>8</v>
      </c>
      <c r="C10" s="36" t="str">
        <f>IFERROR(
  IF(
    VLOOKUP($A10,祝日!$A:$C,2,FALSE)="",
    "",
    VLOOKUP($A10,祝日!$A:$C,2,FALSE)
  ),
  ""
)</f>
        <v/>
      </c>
      <c r="D10" s="36" t="str">
        <f>IFERROR(
  IF(
    VLOOKUP($A10,祝日!$A:$C,3,FALSE)="",
    "",
    VLOOKUP($A10,祝日!$A:$C,3,FALSE)
  ),
  ""
)</f>
        <v/>
      </c>
    </row>
    <row r="11" spans="1:4" ht="15.75" x14ac:dyDescent="0.25">
      <c r="A11" s="35">
        <v>43840</v>
      </c>
      <c r="B11" s="60">
        <f t="shared" si="0"/>
        <v>8</v>
      </c>
      <c r="C11" s="36" t="str">
        <f>IFERROR(
  IF(
    VLOOKUP($A11,祝日!$A:$C,2,FALSE)="",
    "",
    VLOOKUP($A11,祝日!$A:$C,2,FALSE)
  ),
  ""
)</f>
        <v/>
      </c>
      <c r="D11" s="36" t="str">
        <f>IFERROR(
  IF(
    VLOOKUP($A11,祝日!$A:$C,3,FALSE)="",
    "",
    VLOOKUP($A11,祝日!$A:$C,3,FALSE)
  ),
  ""
)</f>
        <v/>
      </c>
    </row>
    <row r="12" spans="1:4" ht="15.75" x14ac:dyDescent="0.25">
      <c r="A12" s="35">
        <v>43841</v>
      </c>
      <c r="B12" s="60">
        <f t="shared" si="0"/>
        <v>0</v>
      </c>
      <c r="C12" s="36" t="str">
        <f>IFERROR(
  IF(
    VLOOKUP($A12,祝日!$A:$C,2,FALSE)="",
    "",
    VLOOKUP($A12,祝日!$A:$C,2,FALSE)
  ),
  ""
)</f>
        <v/>
      </c>
      <c r="D12" s="36" t="str">
        <f>IFERROR(
  IF(
    VLOOKUP($A12,祝日!$A:$C,3,FALSE)="",
    "",
    VLOOKUP($A12,祝日!$A:$C,3,FALSE)
  ),
  ""
)</f>
        <v/>
      </c>
    </row>
    <row r="13" spans="1:4" ht="15.75" x14ac:dyDescent="0.25">
      <c r="A13" s="35">
        <v>43842</v>
      </c>
      <c r="B13" s="60">
        <f t="shared" si="0"/>
        <v>0</v>
      </c>
      <c r="C13" s="36" t="str">
        <f>IFERROR(
  IF(
    VLOOKUP($A13,祝日!$A:$C,2,FALSE)="",
    "",
    VLOOKUP($A13,祝日!$A:$C,2,FALSE)
  ),
  ""
)</f>
        <v/>
      </c>
      <c r="D13" s="36" t="str">
        <f>IFERROR(
  IF(
    VLOOKUP($A13,祝日!$A:$C,3,FALSE)="",
    "",
    VLOOKUP($A13,祝日!$A:$C,3,FALSE)
  ),
  ""
)</f>
        <v/>
      </c>
    </row>
    <row r="14" spans="1:4" ht="15.75" x14ac:dyDescent="0.25">
      <c r="A14" s="35">
        <v>43843</v>
      </c>
      <c r="B14" s="60">
        <f t="shared" si="0"/>
        <v>8</v>
      </c>
      <c r="C14" s="36" t="str">
        <f>IFERROR(
  IF(
    VLOOKUP($A14,祝日!$A:$C,2,FALSE)="",
    "",
    VLOOKUP($A14,祝日!$A:$C,2,FALSE)
  ),
  ""
)</f>
        <v xml:space="preserve">成人の日 </v>
      </c>
      <c r="D14" s="36" t="str">
        <f>IFERROR(
  IF(
    VLOOKUP($A14,祝日!$A:$C,3,FALSE)="",
    "",
    VLOOKUP($A14,祝日!$A:$C,3,FALSE)
  ),
  ""
)</f>
        <v>1月第2月曜日</v>
      </c>
    </row>
    <row r="15" spans="1:4" ht="15.75" x14ac:dyDescent="0.25">
      <c r="A15" s="35">
        <v>43844</v>
      </c>
      <c r="B15" s="60">
        <f t="shared" si="0"/>
        <v>8</v>
      </c>
      <c r="C15" s="36" t="str">
        <f>IFERROR(
  IF(
    VLOOKUP($A15,祝日!$A:$C,2,FALSE)="",
    "",
    VLOOKUP($A15,祝日!$A:$C,2,FALSE)
  ),
  ""
)</f>
        <v/>
      </c>
      <c r="D15" s="36" t="str">
        <f>IFERROR(
  IF(
    VLOOKUP($A15,祝日!$A:$C,3,FALSE)="",
    "",
    VLOOKUP($A15,祝日!$A:$C,3,FALSE)
  ),
  ""
)</f>
        <v/>
      </c>
    </row>
    <row r="16" spans="1:4" ht="15.75" x14ac:dyDescent="0.25">
      <c r="A16" s="35">
        <v>43845</v>
      </c>
      <c r="B16" s="60">
        <f t="shared" si="0"/>
        <v>8</v>
      </c>
      <c r="C16" s="36" t="str">
        <f>IFERROR(
  IF(
    VLOOKUP($A16,祝日!$A:$C,2,FALSE)="",
    "",
    VLOOKUP($A16,祝日!$A:$C,2,FALSE)
  ),
  ""
)</f>
        <v/>
      </c>
      <c r="D16" s="36" t="str">
        <f>IFERROR(
  IF(
    VLOOKUP($A16,祝日!$A:$C,3,FALSE)="",
    "",
    VLOOKUP($A16,祝日!$A:$C,3,FALSE)
  ),
  ""
)</f>
        <v/>
      </c>
    </row>
    <row r="17" spans="1:4" ht="15.75" x14ac:dyDescent="0.25">
      <c r="A17" s="35">
        <v>43846</v>
      </c>
      <c r="B17" s="60">
        <f t="shared" si="0"/>
        <v>8</v>
      </c>
      <c r="C17" s="36" t="str">
        <f>IFERROR(
  IF(
    VLOOKUP($A17,祝日!$A:$C,2,FALSE)="",
    "",
    VLOOKUP($A17,祝日!$A:$C,2,FALSE)
  ),
  ""
)</f>
        <v/>
      </c>
      <c r="D17" s="36" t="str">
        <f>IFERROR(
  IF(
    VLOOKUP($A17,祝日!$A:$C,3,FALSE)="",
    "",
    VLOOKUP($A17,祝日!$A:$C,3,FALSE)
  ),
  ""
)</f>
        <v/>
      </c>
    </row>
    <row r="18" spans="1:4" ht="15.75" x14ac:dyDescent="0.25">
      <c r="A18" s="35">
        <v>43847</v>
      </c>
      <c r="B18" s="60">
        <f t="shared" si="0"/>
        <v>8</v>
      </c>
      <c r="C18" s="36" t="str">
        <f>IFERROR(
  IF(
    VLOOKUP($A18,祝日!$A:$C,2,FALSE)="",
    "",
    VLOOKUP($A18,祝日!$A:$C,2,FALSE)
  ),
  ""
)</f>
        <v/>
      </c>
      <c r="D18" s="36" t="str">
        <f>IFERROR(
  IF(
    VLOOKUP($A18,祝日!$A:$C,3,FALSE)="",
    "",
    VLOOKUP($A18,祝日!$A:$C,3,FALSE)
  ),
  ""
)</f>
        <v/>
      </c>
    </row>
    <row r="19" spans="1:4" ht="15.75" x14ac:dyDescent="0.25">
      <c r="A19" s="35">
        <v>43848</v>
      </c>
      <c r="B19" s="60">
        <f t="shared" si="0"/>
        <v>0</v>
      </c>
      <c r="C19" s="36" t="str">
        <f>IFERROR(
  IF(
    VLOOKUP($A19,祝日!$A:$C,2,FALSE)="",
    "",
    VLOOKUP($A19,祝日!$A:$C,2,FALSE)
  ),
  ""
)</f>
        <v/>
      </c>
      <c r="D19" s="36" t="str">
        <f>IFERROR(
  IF(
    VLOOKUP($A19,祝日!$A:$C,3,FALSE)="",
    "",
    VLOOKUP($A19,祝日!$A:$C,3,FALSE)
  ),
  ""
)</f>
        <v/>
      </c>
    </row>
    <row r="20" spans="1:4" ht="15.75" x14ac:dyDescent="0.25">
      <c r="A20" s="35">
        <v>43849</v>
      </c>
      <c r="B20" s="60">
        <f t="shared" si="0"/>
        <v>0</v>
      </c>
      <c r="C20" s="36" t="str">
        <f>IFERROR(
  IF(
    VLOOKUP($A20,祝日!$A:$C,2,FALSE)="",
    "",
    VLOOKUP($A20,祝日!$A:$C,2,FALSE)
  ),
  ""
)</f>
        <v/>
      </c>
      <c r="D20" s="36" t="str">
        <f>IFERROR(
  IF(
    VLOOKUP($A20,祝日!$A:$C,3,FALSE)="",
    "",
    VLOOKUP($A20,祝日!$A:$C,3,FALSE)
  ),
  ""
)</f>
        <v/>
      </c>
    </row>
    <row r="21" spans="1:4" ht="15.75" x14ac:dyDescent="0.25">
      <c r="A21" s="35">
        <v>43850</v>
      </c>
      <c r="B21" s="60">
        <f t="shared" si="0"/>
        <v>8</v>
      </c>
      <c r="C21" s="36" t="str">
        <f>IFERROR(
  IF(
    VLOOKUP($A21,祝日!$A:$C,2,FALSE)="",
    "",
    VLOOKUP($A21,祝日!$A:$C,2,FALSE)
  ),
  ""
)</f>
        <v/>
      </c>
      <c r="D21" s="36" t="str">
        <f>IFERROR(
  IF(
    VLOOKUP($A21,祝日!$A:$C,3,FALSE)="",
    "",
    VLOOKUP($A21,祝日!$A:$C,3,FALSE)
  ),
  ""
)</f>
        <v/>
      </c>
    </row>
    <row r="22" spans="1:4" ht="15.75" x14ac:dyDescent="0.25">
      <c r="A22" s="35">
        <v>43851</v>
      </c>
      <c r="B22" s="60">
        <f t="shared" si="0"/>
        <v>8</v>
      </c>
      <c r="C22" s="36" t="str">
        <f>IFERROR(
  IF(
    VLOOKUP($A22,祝日!$A:$C,2,FALSE)="",
    "",
    VLOOKUP($A22,祝日!$A:$C,2,FALSE)
  ),
  ""
)</f>
        <v/>
      </c>
      <c r="D22" s="36" t="str">
        <f>IFERROR(
  IF(
    VLOOKUP($A22,祝日!$A:$C,3,FALSE)="",
    "",
    VLOOKUP($A22,祝日!$A:$C,3,FALSE)
  ),
  ""
)</f>
        <v/>
      </c>
    </row>
    <row r="23" spans="1:4" ht="15.75" x14ac:dyDescent="0.25">
      <c r="A23" s="35">
        <v>43852</v>
      </c>
      <c r="B23" s="60">
        <f t="shared" si="0"/>
        <v>8</v>
      </c>
      <c r="C23" s="36" t="str">
        <f>IFERROR(
  IF(
    VLOOKUP($A23,祝日!$A:$C,2,FALSE)="",
    "",
    VLOOKUP($A23,祝日!$A:$C,2,FALSE)
  ),
  ""
)</f>
        <v/>
      </c>
      <c r="D23" s="36" t="str">
        <f>IFERROR(
  IF(
    VLOOKUP($A23,祝日!$A:$C,3,FALSE)="",
    "",
    VLOOKUP($A23,祝日!$A:$C,3,FALSE)
  ),
  ""
)</f>
        <v/>
      </c>
    </row>
    <row r="24" spans="1:4" ht="15.75" x14ac:dyDescent="0.25">
      <c r="A24" s="35">
        <v>43853</v>
      </c>
      <c r="B24" s="60">
        <f t="shared" si="0"/>
        <v>8</v>
      </c>
      <c r="C24" s="36" t="str">
        <f>IFERROR(
  IF(
    VLOOKUP($A24,祝日!$A:$C,2,FALSE)="",
    "",
    VLOOKUP($A24,祝日!$A:$C,2,FALSE)
  ),
  ""
)</f>
        <v/>
      </c>
      <c r="D24" s="36" t="str">
        <f>IFERROR(
  IF(
    VLOOKUP($A24,祝日!$A:$C,3,FALSE)="",
    "",
    VLOOKUP($A24,祝日!$A:$C,3,FALSE)
  ),
  ""
)</f>
        <v/>
      </c>
    </row>
    <row r="25" spans="1:4" ht="15.75" x14ac:dyDescent="0.25">
      <c r="A25" s="35">
        <v>43854</v>
      </c>
      <c r="B25" s="60">
        <f t="shared" si="0"/>
        <v>8</v>
      </c>
      <c r="C25" s="36" t="str">
        <f>IFERROR(
  IF(
    VLOOKUP($A25,祝日!$A:$C,2,FALSE)="",
    "",
    VLOOKUP($A25,祝日!$A:$C,2,FALSE)
  ),
  ""
)</f>
        <v/>
      </c>
      <c r="D25" s="36" t="str">
        <f>IFERROR(
  IF(
    VLOOKUP($A25,祝日!$A:$C,3,FALSE)="",
    "",
    VLOOKUP($A25,祝日!$A:$C,3,FALSE)
  ),
  ""
)</f>
        <v/>
      </c>
    </row>
    <row r="26" spans="1:4" ht="15.75" x14ac:dyDescent="0.25">
      <c r="A26" s="35">
        <v>43855</v>
      </c>
      <c r="B26" s="60">
        <f t="shared" si="0"/>
        <v>0</v>
      </c>
      <c r="C26" s="36" t="str">
        <f>IFERROR(
  IF(
    VLOOKUP($A26,祝日!$A:$C,2,FALSE)="",
    "",
    VLOOKUP($A26,祝日!$A:$C,2,FALSE)
  ),
  ""
)</f>
        <v/>
      </c>
      <c r="D26" s="36" t="str">
        <f>IFERROR(
  IF(
    VLOOKUP($A26,祝日!$A:$C,3,FALSE)="",
    "",
    VLOOKUP($A26,祝日!$A:$C,3,FALSE)
  ),
  ""
)</f>
        <v/>
      </c>
    </row>
    <row r="27" spans="1:4" ht="15.75" x14ac:dyDescent="0.25">
      <c r="A27" s="35">
        <v>43856</v>
      </c>
      <c r="B27" s="60">
        <f t="shared" si="0"/>
        <v>0</v>
      </c>
      <c r="C27" s="36" t="str">
        <f>IFERROR(
  IF(
    VLOOKUP($A27,祝日!$A:$C,2,FALSE)="",
    "",
    VLOOKUP($A27,祝日!$A:$C,2,FALSE)
  ),
  ""
)</f>
        <v/>
      </c>
      <c r="D27" s="36" t="str">
        <f>IFERROR(
  IF(
    VLOOKUP($A27,祝日!$A:$C,3,FALSE)="",
    "",
    VLOOKUP($A27,祝日!$A:$C,3,FALSE)
  ),
  ""
)</f>
        <v/>
      </c>
    </row>
    <row r="28" spans="1:4" ht="15.75" x14ac:dyDescent="0.25">
      <c r="A28" s="35">
        <v>43857</v>
      </c>
      <c r="B28" s="60">
        <f t="shared" si="0"/>
        <v>8</v>
      </c>
      <c r="C28" s="36" t="str">
        <f>IFERROR(
  IF(
    VLOOKUP($A28,祝日!$A:$C,2,FALSE)="",
    "",
    VLOOKUP($A28,祝日!$A:$C,2,FALSE)
  ),
  ""
)</f>
        <v/>
      </c>
      <c r="D28" s="36" t="str">
        <f>IFERROR(
  IF(
    VLOOKUP($A28,祝日!$A:$C,3,FALSE)="",
    "",
    VLOOKUP($A28,祝日!$A:$C,3,FALSE)
  ),
  ""
)</f>
        <v/>
      </c>
    </row>
    <row r="29" spans="1:4" ht="15.75" x14ac:dyDescent="0.25">
      <c r="A29" s="35">
        <v>43858</v>
      </c>
      <c r="B29" s="60">
        <f t="shared" si="0"/>
        <v>8</v>
      </c>
      <c r="C29" s="36" t="str">
        <f>IFERROR(
  IF(
    VLOOKUP($A29,祝日!$A:$C,2,FALSE)="",
    "",
    VLOOKUP($A29,祝日!$A:$C,2,FALSE)
  ),
  ""
)</f>
        <v/>
      </c>
      <c r="D29" s="36" t="str">
        <f>IFERROR(
  IF(
    VLOOKUP($A29,祝日!$A:$C,3,FALSE)="",
    "",
    VLOOKUP($A29,祝日!$A:$C,3,FALSE)
  ),
  ""
)</f>
        <v/>
      </c>
    </row>
    <row r="30" spans="1:4" ht="15.75" x14ac:dyDescent="0.25">
      <c r="A30" s="35">
        <v>43859</v>
      </c>
      <c r="B30" s="60">
        <f t="shared" si="0"/>
        <v>8</v>
      </c>
      <c r="C30" s="36" t="str">
        <f>IFERROR(
  IF(
    VLOOKUP($A30,祝日!$A:$C,2,FALSE)="",
    "",
    VLOOKUP($A30,祝日!$A:$C,2,FALSE)
  ),
  ""
)</f>
        <v/>
      </c>
      <c r="D30" s="36" t="str">
        <f>IFERROR(
  IF(
    VLOOKUP($A30,祝日!$A:$C,3,FALSE)="",
    "",
    VLOOKUP($A30,祝日!$A:$C,3,FALSE)
  ),
  ""
)</f>
        <v/>
      </c>
    </row>
    <row r="31" spans="1:4" ht="15.75" x14ac:dyDescent="0.25">
      <c r="A31" s="35">
        <v>43860</v>
      </c>
      <c r="B31" s="60">
        <f t="shared" si="0"/>
        <v>8</v>
      </c>
      <c r="C31" s="36" t="str">
        <f>IFERROR(
  IF(
    VLOOKUP($A31,祝日!$A:$C,2,FALSE)="",
    "",
    VLOOKUP($A31,祝日!$A:$C,2,FALSE)
  ),
  ""
)</f>
        <v/>
      </c>
      <c r="D31" s="36" t="str">
        <f>IFERROR(
  IF(
    VLOOKUP($A31,祝日!$A:$C,3,FALSE)="",
    "",
    VLOOKUP($A31,祝日!$A:$C,3,FALSE)
  ),
  ""
)</f>
        <v/>
      </c>
    </row>
    <row r="32" spans="1:4" ht="15.75" x14ac:dyDescent="0.25">
      <c r="A32" s="35">
        <v>43861</v>
      </c>
      <c r="B32" s="60">
        <f t="shared" si="0"/>
        <v>8</v>
      </c>
      <c r="C32" s="36" t="str">
        <f>IFERROR(
  IF(
    VLOOKUP($A32,祝日!$A:$C,2,FALSE)="",
    "",
    VLOOKUP($A32,祝日!$A:$C,2,FALSE)
  ),
  ""
)</f>
        <v/>
      </c>
      <c r="D32" s="36" t="str">
        <f>IFERROR(
  IF(
    VLOOKUP($A32,祝日!$A:$C,3,FALSE)="",
    "",
    VLOOKUP($A32,祝日!$A:$C,3,FALSE)
  ),
  ""
)</f>
        <v/>
      </c>
    </row>
    <row r="33" spans="1:4" ht="15.75" x14ac:dyDescent="0.25">
      <c r="A33" s="35">
        <v>43862</v>
      </c>
      <c r="B33" s="60">
        <f t="shared" si="0"/>
        <v>0</v>
      </c>
      <c r="C33" s="36" t="str">
        <f>IFERROR(
  IF(
    VLOOKUP($A33,祝日!$A:$C,2,FALSE)="",
    "",
    VLOOKUP($A33,祝日!$A:$C,2,FALSE)
  ),
  ""
)</f>
        <v/>
      </c>
      <c r="D33" s="36" t="str">
        <f>IFERROR(
  IF(
    VLOOKUP($A33,祝日!$A:$C,3,FALSE)="",
    "",
    VLOOKUP($A33,祝日!$A:$C,3,FALSE)
  ),
  ""
)</f>
        <v/>
      </c>
    </row>
    <row r="34" spans="1:4" ht="15.75" x14ac:dyDescent="0.25">
      <c r="A34" s="35">
        <v>43863</v>
      </c>
      <c r="B34" s="60">
        <f t="shared" si="0"/>
        <v>0</v>
      </c>
      <c r="C34" s="36" t="str">
        <f>IFERROR(
  IF(
    VLOOKUP($A34,祝日!$A:$C,2,FALSE)="",
    "",
    VLOOKUP($A34,祝日!$A:$C,2,FALSE)
  ),
  ""
)</f>
        <v/>
      </c>
      <c r="D34" s="36" t="str">
        <f>IFERROR(
  IF(
    VLOOKUP($A34,祝日!$A:$C,3,FALSE)="",
    "",
    VLOOKUP($A34,祝日!$A:$C,3,FALSE)
  ),
  ""
)</f>
        <v/>
      </c>
    </row>
    <row r="35" spans="1:4" ht="15.75" x14ac:dyDescent="0.25">
      <c r="A35" s="35">
        <v>43864</v>
      </c>
      <c r="B35" s="60">
        <f t="shared" si="0"/>
        <v>8</v>
      </c>
      <c r="C35" s="36" t="str">
        <f>IFERROR(
  IF(
    VLOOKUP($A35,祝日!$A:$C,2,FALSE)="",
    "",
    VLOOKUP($A35,祝日!$A:$C,2,FALSE)
  ),
  ""
)</f>
        <v/>
      </c>
      <c r="D35" s="36" t="str">
        <f>IFERROR(
  IF(
    VLOOKUP($A35,祝日!$A:$C,3,FALSE)="",
    "",
    VLOOKUP($A35,祝日!$A:$C,3,FALSE)
  ),
  ""
)</f>
        <v/>
      </c>
    </row>
    <row r="36" spans="1:4" ht="15.75" x14ac:dyDescent="0.25">
      <c r="A36" s="35">
        <v>43865</v>
      </c>
      <c r="B36" s="60">
        <f t="shared" si="0"/>
        <v>8</v>
      </c>
      <c r="C36" s="36" t="str">
        <f>IFERROR(
  IF(
    VLOOKUP($A36,祝日!$A:$C,2,FALSE)="",
    "",
    VLOOKUP($A36,祝日!$A:$C,2,FALSE)
  ),
  ""
)</f>
        <v/>
      </c>
      <c r="D36" s="36" t="str">
        <f>IFERROR(
  IF(
    VLOOKUP($A36,祝日!$A:$C,3,FALSE)="",
    "",
    VLOOKUP($A36,祝日!$A:$C,3,FALSE)
  ),
  ""
)</f>
        <v/>
      </c>
    </row>
    <row r="37" spans="1:4" ht="15.75" x14ac:dyDescent="0.25">
      <c r="A37" s="35">
        <v>43866</v>
      </c>
      <c r="B37" s="60">
        <f t="shared" si="0"/>
        <v>8</v>
      </c>
      <c r="C37" s="36" t="str">
        <f>IFERROR(
  IF(
    VLOOKUP($A37,祝日!$A:$C,2,FALSE)="",
    "",
    VLOOKUP($A37,祝日!$A:$C,2,FALSE)
  ),
  ""
)</f>
        <v/>
      </c>
      <c r="D37" s="36" t="str">
        <f>IFERROR(
  IF(
    VLOOKUP($A37,祝日!$A:$C,3,FALSE)="",
    "",
    VLOOKUP($A37,祝日!$A:$C,3,FALSE)
  ),
  ""
)</f>
        <v/>
      </c>
    </row>
    <row r="38" spans="1:4" ht="15.75" x14ac:dyDescent="0.25">
      <c r="A38" s="35">
        <v>43867</v>
      </c>
      <c r="B38" s="60">
        <f t="shared" si="0"/>
        <v>8</v>
      </c>
      <c r="C38" s="36" t="str">
        <f>IFERROR(
  IF(
    VLOOKUP($A38,祝日!$A:$C,2,FALSE)="",
    "",
    VLOOKUP($A38,祝日!$A:$C,2,FALSE)
  ),
  ""
)</f>
        <v/>
      </c>
      <c r="D38" s="36" t="str">
        <f>IFERROR(
  IF(
    VLOOKUP($A38,祝日!$A:$C,3,FALSE)="",
    "",
    VLOOKUP($A38,祝日!$A:$C,3,FALSE)
  ),
  ""
)</f>
        <v/>
      </c>
    </row>
    <row r="39" spans="1:4" ht="15.75" x14ac:dyDescent="0.25">
      <c r="A39" s="35">
        <v>43868</v>
      </c>
      <c r="B39" s="60">
        <f t="shared" si="0"/>
        <v>8</v>
      </c>
      <c r="C39" s="36" t="str">
        <f>IFERROR(
  IF(
    VLOOKUP($A39,祝日!$A:$C,2,FALSE)="",
    "",
    VLOOKUP($A39,祝日!$A:$C,2,FALSE)
  ),
  ""
)</f>
        <v/>
      </c>
      <c r="D39" s="36" t="str">
        <f>IFERROR(
  IF(
    VLOOKUP($A39,祝日!$A:$C,3,FALSE)="",
    "",
    VLOOKUP($A39,祝日!$A:$C,3,FALSE)
  ),
  ""
)</f>
        <v/>
      </c>
    </row>
    <row r="40" spans="1:4" ht="15.75" x14ac:dyDescent="0.25">
      <c r="A40" s="35">
        <v>43869</v>
      </c>
      <c r="B40" s="60">
        <f t="shared" si="0"/>
        <v>0</v>
      </c>
      <c r="C40" s="36" t="str">
        <f>IFERROR(
  IF(
    VLOOKUP($A40,祝日!$A:$C,2,FALSE)="",
    "",
    VLOOKUP($A40,祝日!$A:$C,2,FALSE)
  ),
  ""
)</f>
        <v/>
      </c>
      <c r="D40" s="36" t="str">
        <f>IFERROR(
  IF(
    VLOOKUP($A40,祝日!$A:$C,3,FALSE)="",
    "",
    VLOOKUP($A40,祝日!$A:$C,3,FALSE)
  ),
  ""
)</f>
        <v/>
      </c>
    </row>
    <row r="41" spans="1:4" ht="15.75" x14ac:dyDescent="0.25">
      <c r="A41" s="35">
        <v>43870</v>
      </c>
      <c r="B41" s="60">
        <f t="shared" si="0"/>
        <v>0</v>
      </c>
      <c r="C41" s="36" t="str">
        <f>IFERROR(
  IF(
    VLOOKUP($A41,祝日!$A:$C,2,FALSE)="",
    "",
    VLOOKUP($A41,祝日!$A:$C,2,FALSE)
  ),
  ""
)</f>
        <v/>
      </c>
      <c r="D41" s="36" t="str">
        <f>IFERROR(
  IF(
    VLOOKUP($A41,祝日!$A:$C,3,FALSE)="",
    "",
    VLOOKUP($A41,祝日!$A:$C,3,FALSE)
  ),
  ""
)</f>
        <v/>
      </c>
    </row>
    <row r="42" spans="1:4" ht="15.75" x14ac:dyDescent="0.25">
      <c r="A42" s="35">
        <v>43871</v>
      </c>
      <c r="B42" s="60">
        <f t="shared" si="0"/>
        <v>8</v>
      </c>
      <c r="C42" s="36" t="str">
        <f>IFERROR(
  IF(
    VLOOKUP($A42,祝日!$A:$C,2,FALSE)="",
    "",
    VLOOKUP($A42,祝日!$A:$C,2,FALSE)
  ),
  ""
)</f>
        <v/>
      </c>
      <c r="D42" s="36" t="str">
        <f>IFERROR(
  IF(
    VLOOKUP($A42,祝日!$A:$C,3,FALSE)="",
    "",
    VLOOKUP($A42,祝日!$A:$C,3,FALSE)
  ),
  ""
)</f>
        <v/>
      </c>
    </row>
    <row r="43" spans="1:4" ht="15.75" x14ac:dyDescent="0.25">
      <c r="A43" s="35">
        <v>43872</v>
      </c>
      <c r="B43" s="60">
        <f t="shared" si="0"/>
        <v>8</v>
      </c>
      <c r="C43" s="36" t="str">
        <f>IFERROR(
  IF(
    VLOOKUP($A43,祝日!$A:$C,2,FALSE)="",
    "",
    VLOOKUP($A43,祝日!$A:$C,2,FALSE)
  ),
  ""
)</f>
        <v xml:space="preserve">建国記念の日 </v>
      </c>
      <c r="D43" s="36" t="str">
        <f>IFERROR(
  IF(
    VLOOKUP($A43,祝日!$A:$C,3,FALSE)="",
    "",
    VLOOKUP($A43,祝日!$A:$C,3,FALSE)
  ),
  ""
)</f>
        <v/>
      </c>
    </row>
    <row r="44" spans="1:4" ht="15.75" x14ac:dyDescent="0.25">
      <c r="A44" s="35">
        <v>43873</v>
      </c>
      <c r="B44" s="60">
        <f t="shared" si="0"/>
        <v>8</v>
      </c>
      <c r="C44" s="36" t="str">
        <f>IFERROR(
  IF(
    VLOOKUP($A44,祝日!$A:$C,2,FALSE)="",
    "",
    VLOOKUP($A44,祝日!$A:$C,2,FALSE)
  ),
  ""
)</f>
        <v/>
      </c>
      <c r="D44" s="36" t="str">
        <f>IFERROR(
  IF(
    VLOOKUP($A44,祝日!$A:$C,3,FALSE)="",
    "",
    VLOOKUP($A44,祝日!$A:$C,3,FALSE)
  ),
  ""
)</f>
        <v/>
      </c>
    </row>
    <row r="45" spans="1:4" ht="15.75" x14ac:dyDescent="0.25">
      <c r="A45" s="35">
        <v>43874</v>
      </c>
      <c r="B45" s="60">
        <f t="shared" si="0"/>
        <v>8</v>
      </c>
      <c r="C45" s="36" t="str">
        <f>IFERROR(
  IF(
    VLOOKUP($A45,祝日!$A:$C,2,FALSE)="",
    "",
    VLOOKUP($A45,祝日!$A:$C,2,FALSE)
  ),
  ""
)</f>
        <v/>
      </c>
      <c r="D45" s="36" t="str">
        <f>IFERROR(
  IF(
    VLOOKUP($A45,祝日!$A:$C,3,FALSE)="",
    "",
    VLOOKUP($A45,祝日!$A:$C,3,FALSE)
  ),
  ""
)</f>
        <v/>
      </c>
    </row>
    <row r="46" spans="1:4" ht="15.75" x14ac:dyDescent="0.25">
      <c r="A46" s="35">
        <v>43875</v>
      </c>
      <c r="B46" s="60">
        <f t="shared" si="0"/>
        <v>8</v>
      </c>
      <c r="C46" s="36" t="str">
        <f>IFERROR(
  IF(
    VLOOKUP($A46,祝日!$A:$C,2,FALSE)="",
    "",
    VLOOKUP($A46,祝日!$A:$C,2,FALSE)
  ),
  ""
)</f>
        <v/>
      </c>
      <c r="D46" s="36" t="str">
        <f>IFERROR(
  IF(
    VLOOKUP($A46,祝日!$A:$C,3,FALSE)="",
    "",
    VLOOKUP($A46,祝日!$A:$C,3,FALSE)
  ),
  ""
)</f>
        <v/>
      </c>
    </row>
    <row r="47" spans="1:4" ht="15.75" x14ac:dyDescent="0.25">
      <c r="A47" s="35">
        <v>43876</v>
      </c>
      <c r="B47" s="60">
        <f t="shared" si="0"/>
        <v>0</v>
      </c>
      <c r="C47" s="36" t="str">
        <f>IFERROR(
  IF(
    VLOOKUP($A47,祝日!$A:$C,2,FALSE)="",
    "",
    VLOOKUP($A47,祝日!$A:$C,2,FALSE)
  ),
  ""
)</f>
        <v/>
      </c>
      <c r="D47" s="36" t="str">
        <f>IFERROR(
  IF(
    VLOOKUP($A47,祝日!$A:$C,3,FALSE)="",
    "",
    VLOOKUP($A47,祝日!$A:$C,3,FALSE)
  ),
  ""
)</f>
        <v/>
      </c>
    </row>
    <row r="48" spans="1:4" ht="15.75" x14ac:dyDescent="0.25">
      <c r="A48" s="35">
        <v>43877</v>
      </c>
      <c r="B48" s="60">
        <f t="shared" si="0"/>
        <v>0</v>
      </c>
      <c r="C48" s="36" t="str">
        <f>IFERROR(
  IF(
    VLOOKUP($A48,祝日!$A:$C,2,FALSE)="",
    "",
    VLOOKUP($A48,祝日!$A:$C,2,FALSE)
  ),
  ""
)</f>
        <v/>
      </c>
      <c r="D48" s="36" t="str">
        <f>IFERROR(
  IF(
    VLOOKUP($A48,祝日!$A:$C,3,FALSE)="",
    "",
    VLOOKUP($A48,祝日!$A:$C,3,FALSE)
  ),
  ""
)</f>
        <v/>
      </c>
    </row>
    <row r="49" spans="1:4" ht="15.75" x14ac:dyDescent="0.25">
      <c r="A49" s="35">
        <v>43878</v>
      </c>
      <c r="B49" s="60">
        <f t="shared" si="0"/>
        <v>8</v>
      </c>
      <c r="C49" s="36" t="str">
        <f>IFERROR(
  IF(
    VLOOKUP($A49,祝日!$A:$C,2,FALSE)="",
    "",
    VLOOKUP($A49,祝日!$A:$C,2,FALSE)
  ),
  ""
)</f>
        <v/>
      </c>
      <c r="D49" s="36" t="str">
        <f>IFERROR(
  IF(
    VLOOKUP($A49,祝日!$A:$C,3,FALSE)="",
    "",
    VLOOKUP($A49,祝日!$A:$C,3,FALSE)
  ),
  ""
)</f>
        <v/>
      </c>
    </row>
    <row r="50" spans="1:4" ht="15.75" x14ac:dyDescent="0.25">
      <c r="A50" s="35">
        <v>43879</v>
      </c>
      <c r="B50" s="60">
        <f t="shared" si="0"/>
        <v>8</v>
      </c>
      <c r="C50" s="36" t="str">
        <f>IFERROR(
  IF(
    VLOOKUP($A50,祝日!$A:$C,2,FALSE)="",
    "",
    VLOOKUP($A50,祝日!$A:$C,2,FALSE)
  ),
  ""
)</f>
        <v/>
      </c>
      <c r="D50" s="36" t="str">
        <f>IFERROR(
  IF(
    VLOOKUP($A50,祝日!$A:$C,3,FALSE)="",
    "",
    VLOOKUP($A50,祝日!$A:$C,3,FALSE)
  ),
  ""
)</f>
        <v/>
      </c>
    </row>
    <row r="51" spans="1:4" ht="15.75" x14ac:dyDescent="0.25">
      <c r="A51" s="35">
        <v>43880</v>
      </c>
      <c r="B51" s="60">
        <f t="shared" si="0"/>
        <v>8</v>
      </c>
      <c r="C51" s="36" t="str">
        <f>IFERROR(
  IF(
    VLOOKUP($A51,祝日!$A:$C,2,FALSE)="",
    "",
    VLOOKUP($A51,祝日!$A:$C,2,FALSE)
  ),
  ""
)</f>
        <v/>
      </c>
      <c r="D51" s="36" t="str">
        <f>IFERROR(
  IF(
    VLOOKUP($A51,祝日!$A:$C,3,FALSE)="",
    "",
    VLOOKUP($A51,祝日!$A:$C,3,FALSE)
  ),
  ""
)</f>
        <v/>
      </c>
    </row>
    <row r="52" spans="1:4" ht="15.75" x14ac:dyDescent="0.25">
      <c r="A52" s="35">
        <v>43881</v>
      </c>
      <c r="B52" s="60">
        <f t="shared" si="0"/>
        <v>8</v>
      </c>
      <c r="C52" s="36" t="str">
        <f>IFERROR(
  IF(
    VLOOKUP($A52,祝日!$A:$C,2,FALSE)="",
    "",
    VLOOKUP($A52,祝日!$A:$C,2,FALSE)
  ),
  ""
)</f>
        <v/>
      </c>
      <c r="D52" s="36" t="str">
        <f>IFERROR(
  IF(
    VLOOKUP($A52,祝日!$A:$C,3,FALSE)="",
    "",
    VLOOKUP($A52,祝日!$A:$C,3,FALSE)
  ),
  ""
)</f>
        <v/>
      </c>
    </row>
    <row r="53" spans="1:4" ht="15.75" x14ac:dyDescent="0.25">
      <c r="A53" s="35">
        <v>43882</v>
      </c>
      <c r="B53" s="60">
        <f t="shared" si="0"/>
        <v>8</v>
      </c>
      <c r="C53" s="36" t="str">
        <f>IFERROR(
  IF(
    VLOOKUP($A53,祝日!$A:$C,2,FALSE)="",
    "",
    VLOOKUP($A53,祝日!$A:$C,2,FALSE)
  ),
  ""
)</f>
        <v/>
      </c>
      <c r="D53" s="36" t="str">
        <f>IFERROR(
  IF(
    VLOOKUP($A53,祝日!$A:$C,3,FALSE)="",
    "",
    VLOOKUP($A53,祝日!$A:$C,3,FALSE)
  ),
  ""
)</f>
        <v/>
      </c>
    </row>
    <row r="54" spans="1:4" ht="15.75" x14ac:dyDescent="0.25">
      <c r="A54" s="35">
        <v>43883</v>
      </c>
      <c r="B54" s="60">
        <f t="shared" si="0"/>
        <v>0</v>
      </c>
      <c r="C54" s="36" t="str">
        <f>IFERROR(
  IF(
    VLOOKUP($A54,祝日!$A:$C,2,FALSE)="",
    "",
    VLOOKUP($A54,祝日!$A:$C,2,FALSE)
  ),
  ""
)</f>
        <v/>
      </c>
      <c r="D54" s="36" t="str">
        <f>IFERROR(
  IF(
    VLOOKUP($A54,祝日!$A:$C,3,FALSE)="",
    "",
    VLOOKUP($A54,祝日!$A:$C,3,FALSE)
  ),
  ""
)</f>
        <v/>
      </c>
    </row>
    <row r="55" spans="1:4" ht="15.75" x14ac:dyDescent="0.25">
      <c r="A55" s="35">
        <v>43884</v>
      </c>
      <c r="B55" s="60">
        <f t="shared" si="0"/>
        <v>0</v>
      </c>
      <c r="C55" s="36" t="str">
        <f>IFERROR(
  IF(
    VLOOKUP($A55,祝日!$A:$C,2,FALSE)="",
    "",
    VLOOKUP($A55,祝日!$A:$C,2,FALSE)
  ),
  ""
)</f>
        <v xml:space="preserve">天皇誕生日 </v>
      </c>
      <c r="D55" s="36" t="str">
        <f>IFERROR(
  IF(
    VLOOKUP($A55,祝日!$A:$C,3,FALSE)="",
    "",
    VLOOKUP($A55,祝日!$A:$C,3,FALSE)
  ),
  ""
)</f>
        <v/>
      </c>
    </row>
    <row r="56" spans="1:4" ht="15.75" x14ac:dyDescent="0.25">
      <c r="A56" s="35">
        <v>43885</v>
      </c>
      <c r="B56" s="60">
        <f t="shared" si="0"/>
        <v>8</v>
      </c>
      <c r="C56" s="36" t="str">
        <f>IFERROR(
  IF(
    VLOOKUP($A56,祝日!$A:$C,2,FALSE)="",
    "",
    VLOOKUP($A56,祝日!$A:$C,2,FALSE)
  ),
  ""
)</f>
        <v xml:space="preserve">休日 </v>
      </c>
      <c r="D56" s="36" t="str">
        <f>IFERROR(
  IF(
    VLOOKUP($A56,祝日!$A:$C,3,FALSE)="",
    "",
    VLOOKUP($A56,祝日!$A:$C,3,FALSE)
  ),
  ""
)</f>
        <v>天皇誕生日の振り替え休日</v>
      </c>
    </row>
    <row r="57" spans="1:4" ht="15.75" x14ac:dyDescent="0.25">
      <c r="A57" s="35">
        <v>43886</v>
      </c>
      <c r="B57" s="60">
        <f t="shared" si="0"/>
        <v>8</v>
      </c>
      <c r="C57" s="36" t="str">
        <f>IFERROR(
  IF(
    VLOOKUP($A57,祝日!$A:$C,2,FALSE)="",
    "",
    VLOOKUP($A57,祝日!$A:$C,2,FALSE)
  ),
  ""
)</f>
        <v/>
      </c>
      <c r="D57" s="36" t="str">
        <f>IFERROR(
  IF(
    VLOOKUP($A57,祝日!$A:$C,3,FALSE)="",
    "",
    VLOOKUP($A57,祝日!$A:$C,3,FALSE)
  ),
  ""
)</f>
        <v/>
      </c>
    </row>
    <row r="58" spans="1:4" ht="15.75" x14ac:dyDescent="0.25">
      <c r="A58" s="35">
        <v>43887</v>
      </c>
      <c r="B58" s="60">
        <f t="shared" si="0"/>
        <v>8</v>
      </c>
      <c r="C58" s="36" t="str">
        <f>IFERROR(
  IF(
    VLOOKUP($A58,祝日!$A:$C,2,FALSE)="",
    "",
    VLOOKUP($A58,祝日!$A:$C,2,FALSE)
  ),
  ""
)</f>
        <v/>
      </c>
      <c r="D58" s="36" t="str">
        <f>IFERROR(
  IF(
    VLOOKUP($A58,祝日!$A:$C,3,FALSE)="",
    "",
    VLOOKUP($A58,祝日!$A:$C,3,FALSE)
  ),
  ""
)</f>
        <v/>
      </c>
    </row>
    <row r="59" spans="1:4" ht="15.75" x14ac:dyDescent="0.25">
      <c r="A59" s="35">
        <v>43888</v>
      </c>
      <c r="B59" s="60">
        <f t="shared" si="0"/>
        <v>8</v>
      </c>
      <c r="C59" s="36" t="str">
        <f>IFERROR(
  IF(
    VLOOKUP($A59,祝日!$A:$C,2,FALSE)="",
    "",
    VLOOKUP($A59,祝日!$A:$C,2,FALSE)
  ),
  ""
)</f>
        <v/>
      </c>
      <c r="D59" s="36" t="str">
        <f>IFERROR(
  IF(
    VLOOKUP($A59,祝日!$A:$C,3,FALSE)="",
    "",
    VLOOKUP($A59,祝日!$A:$C,3,FALSE)
  ),
  ""
)</f>
        <v/>
      </c>
    </row>
    <row r="60" spans="1:4" ht="15.75" x14ac:dyDescent="0.25">
      <c r="A60" s="35">
        <v>43889</v>
      </c>
      <c r="B60" s="60">
        <f t="shared" si="0"/>
        <v>8</v>
      </c>
      <c r="C60" s="36" t="str">
        <f>IFERROR(
  IF(
    VLOOKUP($A60,祝日!$A:$C,2,FALSE)="",
    "",
    VLOOKUP($A60,祝日!$A:$C,2,FALSE)
  ),
  ""
)</f>
        <v/>
      </c>
      <c r="D60" s="36" t="str">
        <f>IFERROR(
  IF(
    VLOOKUP($A60,祝日!$A:$C,3,FALSE)="",
    "",
    VLOOKUP($A60,祝日!$A:$C,3,FALSE)
  ),
  ""
)</f>
        <v/>
      </c>
    </row>
    <row r="61" spans="1:4" ht="15.75" x14ac:dyDescent="0.25">
      <c r="A61" s="35">
        <v>43890</v>
      </c>
      <c r="B61" s="60">
        <f t="shared" si="0"/>
        <v>0</v>
      </c>
      <c r="C61" s="36" t="str">
        <f>IFERROR(
  IF(
    VLOOKUP($A61,祝日!$A:$C,2,FALSE)="",
    "",
    VLOOKUP($A61,祝日!$A:$C,2,FALSE)
  ),
  ""
)</f>
        <v/>
      </c>
      <c r="D61" s="36" t="str">
        <f>IFERROR(
  IF(
    VLOOKUP($A61,祝日!$A:$C,3,FALSE)="",
    "",
    VLOOKUP($A61,祝日!$A:$C,3,FALSE)
  ),
  ""
)</f>
        <v/>
      </c>
    </row>
    <row r="62" spans="1:4" ht="15.75" x14ac:dyDescent="0.25">
      <c r="A62" s="35">
        <v>43891</v>
      </c>
      <c r="B62" s="60">
        <f t="shared" si="0"/>
        <v>0</v>
      </c>
      <c r="C62" s="36" t="str">
        <f>IFERROR(
  IF(
    VLOOKUP($A62,祝日!$A:$C,2,FALSE)="",
    "",
    VLOOKUP($A62,祝日!$A:$C,2,FALSE)
  ),
  ""
)</f>
        <v/>
      </c>
      <c r="D62" s="36" t="str">
        <f>IFERROR(
  IF(
    VLOOKUP($A62,祝日!$A:$C,3,FALSE)="",
    "",
    VLOOKUP($A62,祝日!$A:$C,3,FALSE)
  ),
  ""
)</f>
        <v/>
      </c>
    </row>
    <row r="63" spans="1:4" ht="15.75" x14ac:dyDescent="0.25">
      <c r="A63" s="35">
        <v>43892</v>
      </c>
      <c r="B63" s="60">
        <f t="shared" si="0"/>
        <v>8</v>
      </c>
      <c r="C63" s="36" t="str">
        <f>IFERROR(
  IF(
    VLOOKUP($A63,祝日!$A:$C,2,FALSE)="",
    "",
    VLOOKUP($A63,祝日!$A:$C,2,FALSE)
  ),
  ""
)</f>
        <v/>
      </c>
      <c r="D63" s="36" t="str">
        <f>IFERROR(
  IF(
    VLOOKUP($A63,祝日!$A:$C,3,FALSE)="",
    "",
    VLOOKUP($A63,祝日!$A:$C,3,FALSE)
  ),
  ""
)</f>
        <v/>
      </c>
    </row>
    <row r="64" spans="1:4" ht="15.75" x14ac:dyDescent="0.25">
      <c r="A64" s="35">
        <v>43893</v>
      </c>
      <c r="B64" s="60">
        <f t="shared" si="0"/>
        <v>8</v>
      </c>
      <c r="C64" s="36" t="str">
        <f>IFERROR(
  IF(
    VLOOKUP($A64,祝日!$A:$C,2,FALSE)="",
    "",
    VLOOKUP($A64,祝日!$A:$C,2,FALSE)
  ),
  ""
)</f>
        <v/>
      </c>
      <c r="D64" s="36" t="str">
        <f>IFERROR(
  IF(
    VLOOKUP($A64,祝日!$A:$C,3,FALSE)="",
    "",
    VLOOKUP($A64,祝日!$A:$C,3,FALSE)
  ),
  ""
)</f>
        <v/>
      </c>
    </row>
    <row r="65" spans="1:4" ht="15.75" x14ac:dyDescent="0.25">
      <c r="A65" s="35">
        <v>43894</v>
      </c>
      <c r="B65" s="60">
        <f t="shared" si="0"/>
        <v>8</v>
      </c>
      <c r="C65" s="36" t="str">
        <f>IFERROR(
  IF(
    VLOOKUP($A65,祝日!$A:$C,2,FALSE)="",
    "",
    VLOOKUP($A65,祝日!$A:$C,2,FALSE)
  ),
  ""
)</f>
        <v/>
      </c>
      <c r="D65" s="36" t="str">
        <f>IFERROR(
  IF(
    VLOOKUP($A65,祝日!$A:$C,3,FALSE)="",
    "",
    VLOOKUP($A65,祝日!$A:$C,3,FALSE)
  ),
  ""
)</f>
        <v/>
      </c>
    </row>
    <row r="66" spans="1:4" ht="15.75" x14ac:dyDescent="0.25">
      <c r="A66" s="35">
        <v>43895</v>
      </c>
      <c r="B66" s="60">
        <f t="shared" si="0"/>
        <v>8</v>
      </c>
      <c r="C66" s="36" t="str">
        <f>IFERROR(
  IF(
    VLOOKUP($A66,祝日!$A:$C,2,FALSE)="",
    "",
    VLOOKUP($A66,祝日!$A:$C,2,FALSE)
  ),
  ""
)</f>
        <v/>
      </c>
      <c r="D66" s="36" t="str">
        <f>IFERROR(
  IF(
    VLOOKUP($A66,祝日!$A:$C,3,FALSE)="",
    "",
    VLOOKUP($A66,祝日!$A:$C,3,FALSE)
  ),
  ""
)</f>
        <v/>
      </c>
    </row>
    <row r="67" spans="1:4" ht="15.75" x14ac:dyDescent="0.25">
      <c r="A67" s="35">
        <v>43896</v>
      </c>
      <c r="B67" s="60">
        <f t="shared" ref="B67:B130" si="1">IF(OR(5&lt;WEEKDAY(A67,2)),0,8)</f>
        <v>8</v>
      </c>
      <c r="C67" s="36" t="str">
        <f>IFERROR(
  IF(
    VLOOKUP($A67,祝日!$A:$C,2,FALSE)="",
    "",
    VLOOKUP($A67,祝日!$A:$C,2,FALSE)
  ),
  ""
)</f>
        <v/>
      </c>
      <c r="D67" s="36" t="str">
        <f>IFERROR(
  IF(
    VLOOKUP($A67,祝日!$A:$C,3,FALSE)="",
    "",
    VLOOKUP($A67,祝日!$A:$C,3,FALSE)
  ),
  ""
)</f>
        <v/>
      </c>
    </row>
    <row r="68" spans="1:4" ht="15.75" x14ac:dyDescent="0.25">
      <c r="A68" s="35">
        <v>43897</v>
      </c>
      <c r="B68" s="60">
        <f t="shared" si="1"/>
        <v>0</v>
      </c>
      <c r="C68" s="36" t="str">
        <f>IFERROR(
  IF(
    VLOOKUP($A68,祝日!$A:$C,2,FALSE)="",
    "",
    VLOOKUP($A68,祝日!$A:$C,2,FALSE)
  ),
  ""
)</f>
        <v/>
      </c>
      <c r="D68" s="36" t="str">
        <f>IFERROR(
  IF(
    VLOOKUP($A68,祝日!$A:$C,3,FALSE)="",
    "",
    VLOOKUP($A68,祝日!$A:$C,3,FALSE)
  ),
  ""
)</f>
        <v/>
      </c>
    </row>
    <row r="69" spans="1:4" ht="15.75" x14ac:dyDescent="0.25">
      <c r="A69" s="35">
        <v>43898</v>
      </c>
      <c r="B69" s="60">
        <f t="shared" si="1"/>
        <v>0</v>
      </c>
      <c r="C69" s="36" t="str">
        <f>IFERROR(
  IF(
    VLOOKUP($A69,祝日!$A:$C,2,FALSE)="",
    "",
    VLOOKUP($A69,祝日!$A:$C,2,FALSE)
  ),
  ""
)</f>
        <v/>
      </c>
      <c r="D69" s="36" t="str">
        <f>IFERROR(
  IF(
    VLOOKUP($A69,祝日!$A:$C,3,FALSE)="",
    "",
    VLOOKUP($A69,祝日!$A:$C,3,FALSE)
  ),
  ""
)</f>
        <v/>
      </c>
    </row>
    <row r="70" spans="1:4" ht="15.75" x14ac:dyDescent="0.25">
      <c r="A70" s="35">
        <v>43899</v>
      </c>
      <c r="B70" s="60">
        <f t="shared" si="1"/>
        <v>8</v>
      </c>
      <c r="C70" s="36" t="str">
        <f>IFERROR(
  IF(
    VLOOKUP($A70,祝日!$A:$C,2,FALSE)="",
    "",
    VLOOKUP($A70,祝日!$A:$C,2,FALSE)
  ),
  ""
)</f>
        <v/>
      </c>
      <c r="D70" s="36" t="str">
        <f>IFERROR(
  IF(
    VLOOKUP($A70,祝日!$A:$C,3,FALSE)="",
    "",
    VLOOKUP($A70,祝日!$A:$C,3,FALSE)
  ),
  ""
)</f>
        <v/>
      </c>
    </row>
    <row r="71" spans="1:4" ht="15.75" x14ac:dyDescent="0.25">
      <c r="A71" s="35">
        <v>43900</v>
      </c>
      <c r="B71" s="60">
        <f t="shared" si="1"/>
        <v>8</v>
      </c>
      <c r="C71" s="36" t="str">
        <f>IFERROR(
  IF(
    VLOOKUP($A71,祝日!$A:$C,2,FALSE)="",
    "",
    VLOOKUP($A71,祝日!$A:$C,2,FALSE)
  ),
  ""
)</f>
        <v/>
      </c>
      <c r="D71" s="36" t="str">
        <f>IFERROR(
  IF(
    VLOOKUP($A71,祝日!$A:$C,3,FALSE)="",
    "",
    VLOOKUP($A71,祝日!$A:$C,3,FALSE)
  ),
  ""
)</f>
        <v/>
      </c>
    </row>
    <row r="72" spans="1:4" ht="15.75" x14ac:dyDescent="0.25">
      <c r="A72" s="35">
        <v>43901</v>
      </c>
      <c r="B72" s="60">
        <f t="shared" si="1"/>
        <v>8</v>
      </c>
      <c r="C72" s="36" t="str">
        <f>IFERROR(
  IF(
    VLOOKUP($A72,祝日!$A:$C,2,FALSE)="",
    "",
    VLOOKUP($A72,祝日!$A:$C,2,FALSE)
  ),
  ""
)</f>
        <v/>
      </c>
      <c r="D72" s="36" t="str">
        <f>IFERROR(
  IF(
    VLOOKUP($A72,祝日!$A:$C,3,FALSE)="",
    "",
    VLOOKUP($A72,祝日!$A:$C,3,FALSE)
  ),
  ""
)</f>
        <v/>
      </c>
    </row>
    <row r="73" spans="1:4" ht="15.75" x14ac:dyDescent="0.25">
      <c r="A73" s="35">
        <v>43902</v>
      </c>
      <c r="B73" s="60">
        <f t="shared" si="1"/>
        <v>8</v>
      </c>
      <c r="C73" s="36" t="str">
        <f>IFERROR(
  IF(
    VLOOKUP($A73,祝日!$A:$C,2,FALSE)="",
    "",
    VLOOKUP($A73,祝日!$A:$C,2,FALSE)
  ),
  ""
)</f>
        <v/>
      </c>
      <c r="D73" s="36" t="str">
        <f>IFERROR(
  IF(
    VLOOKUP($A73,祝日!$A:$C,3,FALSE)="",
    "",
    VLOOKUP($A73,祝日!$A:$C,3,FALSE)
  ),
  ""
)</f>
        <v/>
      </c>
    </row>
    <row r="74" spans="1:4" ht="15.75" x14ac:dyDescent="0.25">
      <c r="A74" s="35">
        <v>43903</v>
      </c>
      <c r="B74" s="60">
        <f t="shared" si="1"/>
        <v>8</v>
      </c>
      <c r="C74" s="36" t="str">
        <f>IFERROR(
  IF(
    VLOOKUP($A74,祝日!$A:$C,2,FALSE)="",
    "",
    VLOOKUP($A74,祝日!$A:$C,2,FALSE)
  ),
  ""
)</f>
        <v/>
      </c>
      <c r="D74" s="36" t="str">
        <f>IFERROR(
  IF(
    VLOOKUP($A74,祝日!$A:$C,3,FALSE)="",
    "",
    VLOOKUP($A74,祝日!$A:$C,3,FALSE)
  ),
  ""
)</f>
        <v/>
      </c>
    </row>
    <row r="75" spans="1:4" ht="15.75" x14ac:dyDescent="0.25">
      <c r="A75" s="35">
        <v>43904</v>
      </c>
      <c r="B75" s="60">
        <f t="shared" si="1"/>
        <v>0</v>
      </c>
      <c r="C75" s="36" t="str">
        <f>IFERROR(
  IF(
    VLOOKUP($A75,祝日!$A:$C,2,FALSE)="",
    "",
    VLOOKUP($A75,祝日!$A:$C,2,FALSE)
  ),
  ""
)</f>
        <v/>
      </c>
      <c r="D75" s="36" t="str">
        <f>IFERROR(
  IF(
    VLOOKUP($A75,祝日!$A:$C,3,FALSE)="",
    "",
    VLOOKUP($A75,祝日!$A:$C,3,FALSE)
  ),
  ""
)</f>
        <v/>
      </c>
    </row>
    <row r="76" spans="1:4" ht="15.75" x14ac:dyDescent="0.25">
      <c r="A76" s="35">
        <v>43905</v>
      </c>
      <c r="B76" s="60">
        <f t="shared" si="1"/>
        <v>0</v>
      </c>
      <c r="C76" s="36" t="str">
        <f>IFERROR(
  IF(
    VLOOKUP($A76,祝日!$A:$C,2,FALSE)="",
    "",
    VLOOKUP($A76,祝日!$A:$C,2,FALSE)
  ),
  ""
)</f>
        <v/>
      </c>
      <c r="D76" s="36" t="str">
        <f>IFERROR(
  IF(
    VLOOKUP($A76,祝日!$A:$C,3,FALSE)="",
    "",
    VLOOKUP($A76,祝日!$A:$C,3,FALSE)
  ),
  ""
)</f>
        <v/>
      </c>
    </row>
    <row r="77" spans="1:4" ht="15.75" x14ac:dyDescent="0.25">
      <c r="A77" s="35">
        <v>43906</v>
      </c>
      <c r="B77" s="60">
        <f t="shared" si="1"/>
        <v>8</v>
      </c>
      <c r="C77" s="36" t="str">
        <f>IFERROR(
  IF(
    VLOOKUP($A77,祝日!$A:$C,2,FALSE)="",
    "",
    VLOOKUP($A77,祝日!$A:$C,2,FALSE)
  ),
  ""
)</f>
        <v/>
      </c>
      <c r="D77" s="36" t="str">
        <f>IFERROR(
  IF(
    VLOOKUP($A77,祝日!$A:$C,3,FALSE)="",
    "",
    VLOOKUP($A77,祝日!$A:$C,3,FALSE)
  ),
  ""
)</f>
        <v/>
      </c>
    </row>
    <row r="78" spans="1:4" ht="15.75" x14ac:dyDescent="0.25">
      <c r="A78" s="35">
        <v>43907</v>
      </c>
      <c r="B78" s="60">
        <f t="shared" si="1"/>
        <v>8</v>
      </c>
      <c r="C78" s="36" t="str">
        <f>IFERROR(
  IF(
    VLOOKUP($A78,祝日!$A:$C,2,FALSE)="",
    "",
    VLOOKUP($A78,祝日!$A:$C,2,FALSE)
  ),
  ""
)</f>
        <v/>
      </c>
      <c r="D78" s="36" t="str">
        <f>IFERROR(
  IF(
    VLOOKUP($A78,祝日!$A:$C,3,FALSE)="",
    "",
    VLOOKUP($A78,祝日!$A:$C,3,FALSE)
  ),
  ""
)</f>
        <v/>
      </c>
    </row>
    <row r="79" spans="1:4" ht="15.75" x14ac:dyDescent="0.25">
      <c r="A79" s="35">
        <v>43908</v>
      </c>
      <c r="B79" s="60">
        <f t="shared" si="1"/>
        <v>8</v>
      </c>
      <c r="C79" s="36" t="str">
        <f>IFERROR(
  IF(
    VLOOKUP($A79,祝日!$A:$C,2,FALSE)="",
    "",
    VLOOKUP($A79,祝日!$A:$C,2,FALSE)
  ),
  ""
)</f>
        <v/>
      </c>
      <c r="D79" s="36" t="str">
        <f>IFERROR(
  IF(
    VLOOKUP($A79,祝日!$A:$C,3,FALSE)="",
    "",
    VLOOKUP($A79,祝日!$A:$C,3,FALSE)
  ),
  ""
)</f>
        <v/>
      </c>
    </row>
    <row r="80" spans="1:4" ht="15.75" x14ac:dyDescent="0.25">
      <c r="A80" s="35">
        <v>43909</v>
      </c>
      <c r="B80" s="60">
        <f t="shared" si="1"/>
        <v>8</v>
      </c>
      <c r="C80" s="36" t="str">
        <f>IFERROR(
  IF(
    VLOOKUP($A80,祝日!$A:$C,2,FALSE)="",
    "",
    VLOOKUP($A80,祝日!$A:$C,2,FALSE)
  ),
  ""
)</f>
        <v/>
      </c>
      <c r="D80" s="36" t="str">
        <f>IFERROR(
  IF(
    VLOOKUP($A80,祝日!$A:$C,3,FALSE)="",
    "",
    VLOOKUP($A80,祝日!$A:$C,3,FALSE)
  ),
  ""
)</f>
        <v/>
      </c>
    </row>
    <row r="81" spans="1:4" ht="15.75" x14ac:dyDescent="0.25">
      <c r="A81" s="35">
        <v>43910</v>
      </c>
      <c r="B81" s="60">
        <f t="shared" si="1"/>
        <v>8</v>
      </c>
      <c r="C81" s="36" t="str">
        <f>IFERROR(
  IF(
    VLOOKUP($A81,祝日!$A:$C,2,FALSE)="",
    "",
    VLOOKUP($A81,祝日!$A:$C,2,FALSE)
  ),
  ""
)</f>
        <v xml:space="preserve">春分の日 </v>
      </c>
      <c r="D81" s="36" t="str">
        <f>IFERROR(
  IF(
    VLOOKUP($A81,祝日!$A:$C,3,FALSE)="",
    "",
    VLOOKUP($A81,祝日!$A:$C,3,FALSE)
  ),
  ""
)</f>
        <v/>
      </c>
    </row>
    <row r="82" spans="1:4" ht="15.75" x14ac:dyDescent="0.25">
      <c r="A82" s="35">
        <v>43911</v>
      </c>
      <c r="B82" s="60">
        <f t="shared" si="1"/>
        <v>0</v>
      </c>
      <c r="C82" s="36" t="str">
        <f>IFERROR(
  IF(
    VLOOKUP($A82,祝日!$A:$C,2,FALSE)="",
    "",
    VLOOKUP($A82,祝日!$A:$C,2,FALSE)
  ),
  ""
)</f>
        <v/>
      </c>
      <c r="D82" s="36" t="str">
        <f>IFERROR(
  IF(
    VLOOKUP($A82,祝日!$A:$C,3,FALSE)="",
    "",
    VLOOKUP($A82,祝日!$A:$C,3,FALSE)
  ),
  ""
)</f>
        <v/>
      </c>
    </row>
    <row r="83" spans="1:4" ht="15.75" x14ac:dyDescent="0.25">
      <c r="A83" s="35">
        <v>43912</v>
      </c>
      <c r="B83" s="60">
        <f t="shared" si="1"/>
        <v>0</v>
      </c>
      <c r="C83" s="36" t="str">
        <f>IFERROR(
  IF(
    VLOOKUP($A83,祝日!$A:$C,2,FALSE)="",
    "",
    VLOOKUP($A83,祝日!$A:$C,2,FALSE)
  ),
  ""
)</f>
        <v/>
      </c>
      <c r="D83" s="36" t="str">
        <f>IFERROR(
  IF(
    VLOOKUP($A83,祝日!$A:$C,3,FALSE)="",
    "",
    VLOOKUP($A83,祝日!$A:$C,3,FALSE)
  ),
  ""
)</f>
        <v/>
      </c>
    </row>
    <row r="84" spans="1:4" ht="15.75" x14ac:dyDescent="0.25">
      <c r="A84" s="35">
        <v>43913</v>
      </c>
      <c r="B84" s="60">
        <f t="shared" si="1"/>
        <v>8</v>
      </c>
      <c r="C84" s="36" t="str">
        <f>IFERROR(
  IF(
    VLOOKUP($A84,祝日!$A:$C,2,FALSE)="",
    "",
    VLOOKUP($A84,祝日!$A:$C,2,FALSE)
  ),
  ""
)</f>
        <v/>
      </c>
      <c r="D84" s="36" t="str">
        <f>IFERROR(
  IF(
    VLOOKUP($A84,祝日!$A:$C,3,FALSE)="",
    "",
    VLOOKUP($A84,祝日!$A:$C,3,FALSE)
  ),
  ""
)</f>
        <v/>
      </c>
    </row>
    <row r="85" spans="1:4" ht="15.75" x14ac:dyDescent="0.25">
      <c r="A85" s="35">
        <v>43914</v>
      </c>
      <c r="B85" s="60">
        <f t="shared" si="1"/>
        <v>8</v>
      </c>
      <c r="C85" s="36" t="str">
        <f>IFERROR(
  IF(
    VLOOKUP($A85,祝日!$A:$C,2,FALSE)="",
    "",
    VLOOKUP($A85,祝日!$A:$C,2,FALSE)
  ),
  ""
)</f>
        <v/>
      </c>
      <c r="D85" s="36" t="str">
        <f>IFERROR(
  IF(
    VLOOKUP($A85,祝日!$A:$C,3,FALSE)="",
    "",
    VLOOKUP($A85,祝日!$A:$C,3,FALSE)
  ),
  ""
)</f>
        <v/>
      </c>
    </row>
    <row r="86" spans="1:4" ht="15.75" x14ac:dyDescent="0.25">
      <c r="A86" s="35">
        <v>43915</v>
      </c>
      <c r="B86" s="60">
        <f t="shared" si="1"/>
        <v>8</v>
      </c>
      <c r="C86" s="36" t="str">
        <f>IFERROR(
  IF(
    VLOOKUP($A86,祝日!$A:$C,2,FALSE)="",
    "",
    VLOOKUP($A86,祝日!$A:$C,2,FALSE)
  ),
  ""
)</f>
        <v/>
      </c>
      <c r="D86" s="36" t="str">
        <f>IFERROR(
  IF(
    VLOOKUP($A86,祝日!$A:$C,3,FALSE)="",
    "",
    VLOOKUP($A86,祝日!$A:$C,3,FALSE)
  ),
  ""
)</f>
        <v/>
      </c>
    </row>
    <row r="87" spans="1:4" ht="15.75" x14ac:dyDescent="0.25">
      <c r="A87" s="35">
        <v>43916</v>
      </c>
      <c r="B87" s="60">
        <f t="shared" si="1"/>
        <v>8</v>
      </c>
      <c r="C87" s="36" t="str">
        <f>IFERROR(
  IF(
    VLOOKUP($A87,祝日!$A:$C,2,FALSE)="",
    "",
    VLOOKUP($A87,祝日!$A:$C,2,FALSE)
  ),
  ""
)</f>
        <v/>
      </c>
      <c r="D87" s="36" t="str">
        <f>IFERROR(
  IF(
    VLOOKUP($A87,祝日!$A:$C,3,FALSE)="",
    "",
    VLOOKUP($A87,祝日!$A:$C,3,FALSE)
  ),
  ""
)</f>
        <v/>
      </c>
    </row>
    <row r="88" spans="1:4" ht="15.75" x14ac:dyDescent="0.25">
      <c r="A88" s="35">
        <v>43917</v>
      </c>
      <c r="B88" s="60">
        <f t="shared" si="1"/>
        <v>8</v>
      </c>
      <c r="C88" s="36" t="str">
        <f>IFERROR(
  IF(
    VLOOKUP($A88,祝日!$A:$C,2,FALSE)="",
    "",
    VLOOKUP($A88,祝日!$A:$C,2,FALSE)
  ),
  ""
)</f>
        <v/>
      </c>
      <c r="D88" s="36" t="str">
        <f>IFERROR(
  IF(
    VLOOKUP($A88,祝日!$A:$C,3,FALSE)="",
    "",
    VLOOKUP($A88,祝日!$A:$C,3,FALSE)
  ),
  ""
)</f>
        <v/>
      </c>
    </row>
    <row r="89" spans="1:4" ht="15.75" x14ac:dyDescent="0.25">
      <c r="A89" s="35">
        <v>43918</v>
      </c>
      <c r="B89" s="60">
        <f t="shared" si="1"/>
        <v>0</v>
      </c>
      <c r="C89" s="36" t="str">
        <f>IFERROR(
  IF(
    VLOOKUP($A89,祝日!$A:$C,2,FALSE)="",
    "",
    VLOOKUP($A89,祝日!$A:$C,2,FALSE)
  ),
  ""
)</f>
        <v/>
      </c>
      <c r="D89" s="36" t="str">
        <f>IFERROR(
  IF(
    VLOOKUP($A89,祝日!$A:$C,3,FALSE)="",
    "",
    VLOOKUP($A89,祝日!$A:$C,3,FALSE)
  ),
  ""
)</f>
        <v/>
      </c>
    </row>
    <row r="90" spans="1:4" ht="15.75" x14ac:dyDescent="0.25">
      <c r="A90" s="35">
        <v>43919</v>
      </c>
      <c r="B90" s="60">
        <f t="shared" si="1"/>
        <v>0</v>
      </c>
      <c r="C90" s="36" t="str">
        <f>IFERROR(
  IF(
    VLOOKUP($A90,祝日!$A:$C,2,FALSE)="",
    "",
    VLOOKUP($A90,祝日!$A:$C,2,FALSE)
  ),
  ""
)</f>
        <v/>
      </c>
      <c r="D90" s="36" t="str">
        <f>IFERROR(
  IF(
    VLOOKUP($A90,祝日!$A:$C,3,FALSE)="",
    "",
    VLOOKUP($A90,祝日!$A:$C,3,FALSE)
  ),
  ""
)</f>
        <v/>
      </c>
    </row>
    <row r="91" spans="1:4" ht="15.75" x14ac:dyDescent="0.25">
      <c r="A91" s="35">
        <v>43920</v>
      </c>
      <c r="B91" s="60">
        <f t="shared" si="1"/>
        <v>8</v>
      </c>
      <c r="C91" s="36" t="str">
        <f>IFERROR(
  IF(
    VLOOKUP($A91,祝日!$A:$C,2,FALSE)="",
    "",
    VLOOKUP($A91,祝日!$A:$C,2,FALSE)
  ),
  ""
)</f>
        <v/>
      </c>
      <c r="D91" s="36" t="str">
        <f>IFERROR(
  IF(
    VLOOKUP($A91,祝日!$A:$C,3,FALSE)="",
    "",
    VLOOKUP($A91,祝日!$A:$C,3,FALSE)
  ),
  ""
)</f>
        <v/>
      </c>
    </row>
    <row r="92" spans="1:4" ht="15.75" x14ac:dyDescent="0.25">
      <c r="A92" s="35">
        <v>43921</v>
      </c>
      <c r="B92" s="60">
        <f t="shared" si="1"/>
        <v>8</v>
      </c>
      <c r="C92" s="36" t="str">
        <f>IFERROR(
  IF(
    VLOOKUP($A92,祝日!$A:$C,2,FALSE)="",
    "",
    VLOOKUP($A92,祝日!$A:$C,2,FALSE)
  ),
  ""
)</f>
        <v/>
      </c>
      <c r="D92" s="36" t="str">
        <f>IFERROR(
  IF(
    VLOOKUP($A92,祝日!$A:$C,3,FALSE)="",
    "",
    VLOOKUP($A92,祝日!$A:$C,3,FALSE)
  ),
  ""
)</f>
        <v/>
      </c>
    </row>
    <row r="93" spans="1:4" ht="15.75" x14ac:dyDescent="0.25">
      <c r="A93" s="35">
        <v>43922</v>
      </c>
      <c r="B93" s="60">
        <f t="shared" si="1"/>
        <v>8</v>
      </c>
      <c r="C93" s="36" t="str">
        <f>IFERROR(
  IF(
    VLOOKUP($A93,祝日!$A:$C,2,FALSE)="",
    "",
    VLOOKUP($A93,祝日!$A:$C,2,FALSE)
  ),
  ""
)</f>
        <v/>
      </c>
      <c r="D93" s="36" t="str">
        <f>IFERROR(
  IF(
    VLOOKUP($A93,祝日!$A:$C,3,FALSE)="",
    "",
    VLOOKUP($A93,祝日!$A:$C,3,FALSE)
  ),
  ""
)</f>
        <v/>
      </c>
    </row>
    <row r="94" spans="1:4" ht="15.75" x14ac:dyDescent="0.25">
      <c r="A94" s="35">
        <v>43923</v>
      </c>
      <c r="B94" s="60">
        <f t="shared" si="1"/>
        <v>8</v>
      </c>
      <c r="C94" s="36" t="str">
        <f>IFERROR(
  IF(
    VLOOKUP($A94,祝日!$A:$C,2,FALSE)="",
    "",
    VLOOKUP($A94,祝日!$A:$C,2,FALSE)
  ),
  ""
)</f>
        <v/>
      </c>
      <c r="D94" s="36" t="str">
        <f>IFERROR(
  IF(
    VLOOKUP($A94,祝日!$A:$C,3,FALSE)="",
    "",
    VLOOKUP($A94,祝日!$A:$C,3,FALSE)
  ),
  ""
)</f>
        <v/>
      </c>
    </row>
    <row r="95" spans="1:4" ht="15.75" x14ac:dyDescent="0.25">
      <c r="A95" s="35">
        <v>43924</v>
      </c>
      <c r="B95" s="60">
        <f t="shared" si="1"/>
        <v>8</v>
      </c>
      <c r="C95" s="36" t="str">
        <f>IFERROR(
  IF(
    VLOOKUP($A95,祝日!$A:$C,2,FALSE)="",
    "",
    VLOOKUP($A95,祝日!$A:$C,2,FALSE)
  ),
  ""
)</f>
        <v/>
      </c>
      <c r="D95" s="36" t="str">
        <f>IFERROR(
  IF(
    VLOOKUP($A95,祝日!$A:$C,3,FALSE)="",
    "",
    VLOOKUP($A95,祝日!$A:$C,3,FALSE)
  ),
  ""
)</f>
        <v/>
      </c>
    </row>
    <row r="96" spans="1:4" ht="15.75" x14ac:dyDescent="0.25">
      <c r="A96" s="35">
        <v>43925</v>
      </c>
      <c r="B96" s="60">
        <f t="shared" si="1"/>
        <v>0</v>
      </c>
      <c r="C96" s="36" t="str">
        <f>IFERROR(
  IF(
    VLOOKUP($A96,祝日!$A:$C,2,FALSE)="",
    "",
    VLOOKUP($A96,祝日!$A:$C,2,FALSE)
  ),
  ""
)</f>
        <v/>
      </c>
      <c r="D96" s="36" t="str">
        <f>IFERROR(
  IF(
    VLOOKUP($A96,祝日!$A:$C,3,FALSE)="",
    "",
    VLOOKUP($A96,祝日!$A:$C,3,FALSE)
  ),
  ""
)</f>
        <v/>
      </c>
    </row>
    <row r="97" spans="1:4" ht="15.75" x14ac:dyDescent="0.25">
      <c r="A97" s="35">
        <v>43926</v>
      </c>
      <c r="B97" s="60">
        <f t="shared" si="1"/>
        <v>0</v>
      </c>
      <c r="C97" s="36" t="str">
        <f>IFERROR(
  IF(
    VLOOKUP($A97,祝日!$A:$C,2,FALSE)="",
    "",
    VLOOKUP($A97,祝日!$A:$C,2,FALSE)
  ),
  ""
)</f>
        <v/>
      </c>
      <c r="D97" s="36" t="str">
        <f>IFERROR(
  IF(
    VLOOKUP($A97,祝日!$A:$C,3,FALSE)="",
    "",
    VLOOKUP($A97,祝日!$A:$C,3,FALSE)
  ),
  ""
)</f>
        <v/>
      </c>
    </row>
    <row r="98" spans="1:4" ht="15.75" x14ac:dyDescent="0.25">
      <c r="A98" s="35">
        <v>43927</v>
      </c>
      <c r="B98" s="60">
        <f t="shared" si="1"/>
        <v>8</v>
      </c>
      <c r="C98" s="36" t="str">
        <f>IFERROR(
  IF(
    VLOOKUP($A98,祝日!$A:$C,2,FALSE)="",
    "",
    VLOOKUP($A98,祝日!$A:$C,2,FALSE)
  ),
  ""
)</f>
        <v/>
      </c>
      <c r="D98" s="36" t="str">
        <f>IFERROR(
  IF(
    VLOOKUP($A98,祝日!$A:$C,3,FALSE)="",
    "",
    VLOOKUP($A98,祝日!$A:$C,3,FALSE)
  ),
  ""
)</f>
        <v/>
      </c>
    </row>
    <row r="99" spans="1:4" ht="15.75" x14ac:dyDescent="0.25">
      <c r="A99" s="35">
        <v>43928</v>
      </c>
      <c r="B99" s="60">
        <f t="shared" si="1"/>
        <v>8</v>
      </c>
      <c r="C99" s="36" t="str">
        <f>IFERROR(
  IF(
    VLOOKUP($A99,祝日!$A:$C,2,FALSE)="",
    "",
    VLOOKUP($A99,祝日!$A:$C,2,FALSE)
  ),
  ""
)</f>
        <v/>
      </c>
      <c r="D99" s="36" t="str">
        <f>IFERROR(
  IF(
    VLOOKUP($A99,祝日!$A:$C,3,FALSE)="",
    "",
    VLOOKUP($A99,祝日!$A:$C,3,FALSE)
  ),
  ""
)</f>
        <v/>
      </c>
    </row>
    <row r="100" spans="1:4" ht="15.75" x14ac:dyDescent="0.25">
      <c r="A100" s="35">
        <v>43929</v>
      </c>
      <c r="B100" s="60">
        <f t="shared" si="1"/>
        <v>8</v>
      </c>
      <c r="C100" s="36" t="str">
        <f>IFERROR(
  IF(
    VLOOKUP($A100,祝日!$A:$C,2,FALSE)="",
    "",
    VLOOKUP($A100,祝日!$A:$C,2,FALSE)
  ),
  ""
)</f>
        <v/>
      </c>
      <c r="D100" s="36" t="str">
        <f>IFERROR(
  IF(
    VLOOKUP($A100,祝日!$A:$C,3,FALSE)="",
    "",
    VLOOKUP($A100,祝日!$A:$C,3,FALSE)
  ),
  ""
)</f>
        <v/>
      </c>
    </row>
    <row r="101" spans="1:4" ht="15.75" x14ac:dyDescent="0.25">
      <c r="A101" s="35">
        <v>43930</v>
      </c>
      <c r="B101" s="60">
        <f t="shared" si="1"/>
        <v>8</v>
      </c>
      <c r="C101" s="36" t="str">
        <f>IFERROR(
  IF(
    VLOOKUP($A101,祝日!$A:$C,2,FALSE)="",
    "",
    VLOOKUP($A101,祝日!$A:$C,2,FALSE)
  ),
  ""
)</f>
        <v/>
      </c>
      <c r="D101" s="36" t="str">
        <f>IFERROR(
  IF(
    VLOOKUP($A101,祝日!$A:$C,3,FALSE)="",
    "",
    VLOOKUP($A101,祝日!$A:$C,3,FALSE)
  ),
  ""
)</f>
        <v/>
      </c>
    </row>
    <row r="102" spans="1:4" ht="15.75" x14ac:dyDescent="0.25">
      <c r="A102" s="35">
        <v>43931</v>
      </c>
      <c r="B102" s="60">
        <f t="shared" si="1"/>
        <v>8</v>
      </c>
      <c r="C102" s="36" t="str">
        <f>IFERROR(
  IF(
    VLOOKUP($A102,祝日!$A:$C,2,FALSE)="",
    "",
    VLOOKUP($A102,祝日!$A:$C,2,FALSE)
  ),
  ""
)</f>
        <v/>
      </c>
      <c r="D102" s="36" t="str">
        <f>IFERROR(
  IF(
    VLOOKUP($A102,祝日!$A:$C,3,FALSE)="",
    "",
    VLOOKUP($A102,祝日!$A:$C,3,FALSE)
  ),
  ""
)</f>
        <v/>
      </c>
    </row>
    <row r="103" spans="1:4" ht="15.75" x14ac:dyDescent="0.25">
      <c r="A103" s="35">
        <v>43932</v>
      </c>
      <c r="B103" s="60">
        <f t="shared" si="1"/>
        <v>0</v>
      </c>
      <c r="C103" s="36" t="str">
        <f>IFERROR(
  IF(
    VLOOKUP($A103,祝日!$A:$C,2,FALSE)="",
    "",
    VLOOKUP($A103,祝日!$A:$C,2,FALSE)
  ),
  ""
)</f>
        <v/>
      </c>
      <c r="D103" s="36" t="str">
        <f>IFERROR(
  IF(
    VLOOKUP($A103,祝日!$A:$C,3,FALSE)="",
    "",
    VLOOKUP($A103,祝日!$A:$C,3,FALSE)
  ),
  ""
)</f>
        <v/>
      </c>
    </row>
    <row r="104" spans="1:4" ht="15.75" x14ac:dyDescent="0.25">
      <c r="A104" s="35">
        <v>43933</v>
      </c>
      <c r="B104" s="60">
        <f t="shared" si="1"/>
        <v>0</v>
      </c>
      <c r="C104" s="36" t="str">
        <f>IFERROR(
  IF(
    VLOOKUP($A104,祝日!$A:$C,2,FALSE)="",
    "",
    VLOOKUP($A104,祝日!$A:$C,2,FALSE)
  ),
  ""
)</f>
        <v/>
      </c>
      <c r="D104" s="36" t="str">
        <f>IFERROR(
  IF(
    VLOOKUP($A104,祝日!$A:$C,3,FALSE)="",
    "",
    VLOOKUP($A104,祝日!$A:$C,3,FALSE)
  ),
  ""
)</f>
        <v/>
      </c>
    </row>
    <row r="105" spans="1:4" ht="15.75" x14ac:dyDescent="0.25">
      <c r="A105" s="35">
        <v>43934</v>
      </c>
      <c r="B105" s="60">
        <f t="shared" si="1"/>
        <v>8</v>
      </c>
      <c r="C105" s="36" t="str">
        <f>IFERROR(
  IF(
    VLOOKUP($A105,祝日!$A:$C,2,FALSE)="",
    "",
    VLOOKUP($A105,祝日!$A:$C,2,FALSE)
  ),
  ""
)</f>
        <v/>
      </c>
      <c r="D105" s="36" t="str">
        <f>IFERROR(
  IF(
    VLOOKUP($A105,祝日!$A:$C,3,FALSE)="",
    "",
    VLOOKUP($A105,祝日!$A:$C,3,FALSE)
  ),
  ""
)</f>
        <v/>
      </c>
    </row>
    <row r="106" spans="1:4" ht="15.75" x14ac:dyDescent="0.25">
      <c r="A106" s="35">
        <v>43935</v>
      </c>
      <c r="B106" s="60">
        <f t="shared" si="1"/>
        <v>8</v>
      </c>
      <c r="C106" s="36" t="str">
        <f>IFERROR(
  IF(
    VLOOKUP($A106,祝日!$A:$C,2,FALSE)="",
    "",
    VLOOKUP($A106,祝日!$A:$C,2,FALSE)
  ),
  ""
)</f>
        <v/>
      </c>
      <c r="D106" s="36" t="str">
        <f>IFERROR(
  IF(
    VLOOKUP($A106,祝日!$A:$C,3,FALSE)="",
    "",
    VLOOKUP($A106,祝日!$A:$C,3,FALSE)
  ),
  ""
)</f>
        <v/>
      </c>
    </row>
    <row r="107" spans="1:4" ht="15.75" x14ac:dyDescent="0.25">
      <c r="A107" s="35">
        <v>43936</v>
      </c>
      <c r="B107" s="60">
        <f t="shared" si="1"/>
        <v>8</v>
      </c>
      <c r="C107" s="36" t="str">
        <f>IFERROR(
  IF(
    VLOOKUP($A107,祝日!$A:$C,2,FALSE)="",
    "",
    VLOOKUP($A107,祝日!$A:$C,2,FALSE)
  ),
  ""
)</f>
        <v/>
      </c>
      <c r="D107" s="36" t="str">
        <f>IFERROR(
  IF(
    VLOOKUP($A107,祝日!$A:$C,3,FALSE)="",
    "",
    VLOOKUP($A107,祝日!$A:$C,3,FALSE)
  ),
  ""
)</f>
        <v/>
      </c>
    </row>
    <row r="108" spans="1:4" ht="15.75" x14ac:dyDescent="0.25">
      <c r="A108" s="35">
        <v>43937</v>
      </c>
      <c r="B108" s="60">
        <f t="shared" si="1"/>
        <v>8</v>
      </c>
      <c r="C108" s="36" t="str">
        <f>IFERROR(
  IF(
    VLOOKUP($A108,祝日!$A:$C,2,FALSE)="",
    "",
    VLOOKUP($A108,祝日!$A:$C,2,FALSE)
  ),
  ""
)</f>
        <v/>
      </c>
      <c r="D108" s="36" t="str">
        <f>IFERROR(
  IF(
    VLOOKUP($A108,祝日!$A:$C,3,FALSE)="",
    "",
    VLOOKUP($A108,祝日!$A:$C,3,FALSE)
  ),
  ""
)</f>
        <v/>
      </c>
    </row>
    <row r="109" spans="1:4" ht="15.75" x14ac:dyDescent="0.25">
      <c r="A109" s="35">
        <v>43938</v>
      </c>
      <c r="B109" s="60">
        <f t="shared" si="1"/>
        <v>8</v>
      </c>
      <c r="C109" s="36" t="str">
        <f>IFERROR(
  IF(
    VLOOKUP($A109,祝日!$A:$C,2,FALSE)="",
    "",
    VLOOKUP($A109,祝日!$A:$C,2,FALSE)
  ),
  ""
)</f>
        <v/>
      </c>
      <c r="D109" s="36" t="str">
        <f>IFERROR(
  IF(
    VLOOKUP($A109,祝日!$A:$C,3,FALSE)="",
    "",
    VLOOKUP($A109,祝日!$A:$C,3,FALSE)
  ),
  ""
)</f>
        <v/>
      </c>
    </row>
    <row r="110" spans="1:4" ht="15.75" x14ac:dyDescent="0.25">
      <c r="A110" s="35">
        <v>43939</v>
      </c>
      <c r="B110" s="60">
        <f t="shared" si="1"/>
        <v>0</v>
      </c>
      <c r="C110" s="36" t="str">
        <f>IFERROR(
  IF(
    VLOOKUP($A110,祝日!$A:$C,2,FALSE)="",
    "",
    VLOOKUP($A110,祝日!$A:$C,2,FALSE)
  ),
  ""
)</f>
        <v/>
      </c>
      <c r="D110" s="36" t="str">
        <f>IFERROR(
  IF(
    VLOOKUP($A110,祝日!$A:$C,3,FALSE)="",
    "",
    VLOOKUP($A110,祝日!$A:$C,3,FALSE)
  ),
  ""
)</f>
        <v/>
      </c>
    </row>
    <row r="111" spans="1:4" ht="15.75" x14ac:dyDescent="0.25">
      <c r="A111" s="35">
        <v>43940</v>
      </c>
      <c r="B111" s="60">
        <f t="shared" si="1"/>
        <v>0</v>
      </c>
      <c r="C111" s="36" t="str">
        <f>IFERROR(
  IF(
    VLOOKUP($A111,祝日!$A:$C,2,FALSE)="",
    "",
    VLOOKUP($A111,祝日!$A:$C,2,FALSE)
  ),
  ""
)</f>
        <v/>
      </c>
      <c r="D111" s="36" t="str">
        <f>IFERROR(
  IF(
    VLOOKUP($A111,祝日!$A:$C,3,FALSE)="",
    "",
    VLOOKUP($A111,祝日!$A:$C,3,FALSE)
  ),
  ""
)</f>
        <v/>
      </c>
    </row>
    <row r="112" spans="1:4" ht="15.75" x14ac:dyDescent="0.25">
      <c r="A112" s="35">
        <v>43941</v>
      </c>
      <c r="B112" s="60">
        <f t="shared" si="1"/>
        <v>8</v>
      </c>
      <c r="C112" s="36" t="str">
        <f>IFERROR(
  IF(
    VLOOKUP($A112,祝日!$A:$C,2,FALSE)="",
    "",
    VLOOKUP($A112,祝日!$A:$C,2,FALSE)
  ),
  ""
)</f>
        <v/>
      </c>
      <c r="D112" s="36" t="str">
        <f>IFERROR(
  IF(
    VLOOKUP($A112,祝日!$A:$C,3,FALSE)="",
    "",
    VLOOKUP($A112,祝日!$A:$C,3,FALSE)
  ),
  ""
)</f>
        <v/>
      </c>
    </row>
    <row r="113" spans="1:4" ht="15.75" x14ac:dyDescent="0.25">
      <c r="A113" s="35">
        <v>43942</v>
      </c>
      <c r="B113" s="60">
        <f t="shared" si="1"/>
        <v>8</v>
      </c>
      <c r="C113" s="36" t="str">
        <f>IFERROR(
  IF(
    VLOOKUP($A113,祝日!$A:$C,2,FALSE)="",
    "",
    VLOOKUP($A113,祝日!$A:$C,2,FALSE)
  ),
  ""
)</f>
        <v/>
      </c>
      <c r="D113" s="36" t="str">
        <f>IFERROR(
  IF(
    VLOOKUP($A113,祝日!$A:$C,3,FALSE)="",
    "",
    VLOOKUP($A113,祝日!$A:$C,3,FALSE)
  ),
  ""
)</f>
        <v/>
      </c>
    </row>
    <row r="114" spans="1:4" ht="15.75" x14ac:dyDescent="0.25">
      <c r="A114" s="35">
        <v>43943</v>
      </c>
      <c r="B114" s="60">
        <f t="shared" si="1"/>
        <v>8</v>
      </c>
      <c r="C114" s="36" t="str">
        <f>IFERROR(
  IF(
    VLOOKUP($A114,祝日!$A:$C,2,FALSE)="",
    "",
    VLOOKUP($A114,祝日!$A:$C,2,FALSE)
  ),
  ""
)</f>
        <v/>
      </c>
      <c r="D114" s="36" t="str">
        <f>IFERROR(
  IF(
    VLOOKUP($A114,祝日!$A:$C,3,FALSE)="",
    "",
    VLOOKUP($A114,祝日!$A:$C,3,FALSE)
  ),
  ""
)</f>
        <v/>
      </c>
    </row>
    <row r="115" spans="1:4" ht="15.75" x14ac:dyDescent="0.25">
      <c r="A115" s="35">
        <v>43944</v>
      </c>
      <c r="B115" s="60">
        <f t="shared" si="1"/>
        <v>8</v>
      </c>
      <c r="C115" s="36" t="str">
        <f>IFERROR(
  IF(
    VLOOKUP($A115,祝日!$A:$C,2,FALSE)="",
    "",
    VLOOKUP($A115,祝日!$A:$C,2,FALSE)
  ),
  ""
)</f>
        <v/>
      </c>
      <c r="D115" s="36" t="str">
        <f>IFERROR(
  IF(
    VLOOKUP($A115,祝日!$A:$C,3,FALSE)="",
    "",
    VLOOKUP($A115,祝日!$A:$C,3,FALSE)
  ),
  ""
)</f>
        <v/>
      </c>
    </row>
    <row r="116" spans="1:4" ht="15.75" x14ac:dyDescent="0.25">
      <c r="A116" s="35">
        <v>43945</v>
      </c>
      <c r="B116" s="60">
        <f t="shared" si="1"/>
        <v>8</v>
      </c>
      <c r="C116" s="36" t="str">
        <f>IFERROR(
  IF(
    VLOOKUP($A116,祝日!$A:$C,2,FALSE)="",
    "",
    VLOOKUP($A116,祝日!$A:$C,2,FALSE)
  ),
  ""
)</f>
        <v/>
      </c>
      <c r="D116" s="36" t="str">
        <f>IFERROR(
  IF(
    VLOOKUP($A116,祝日!$A:$C,3,FALSE)="",
    "",
    VLOOKUP($A116,祝日!$A:$C,3,FALSE)
  ),
  ""
)</f>
        <v/>
      </c>
    </row>
    <row r="117" spans="1:4" ht="15.75" x14ac:dyDescent="0.25">
      <c r="A117" s="35">
        <v>43946</v>
      </c>
      <c r="B117" s="60">
        <f t="shared" si="1"/>
        <v>0</v>
      </c>
      <c r="C117" s="36" t="str">
        <f>IFERROR(
  IF(
    VLOOKUP($A117,祝日!$A:$C,2,FALSE)="",
    "",
    VLOOKUP($A117,祝日!$A:$C,2,FALSE)
  ),
  ""
)</f>
        <v/>
      </c>
      <c r="D117" s="36" t="str">
        <f>IFERROR(
  IF(
    VLOOKUP($A117,祝日!$A:$C,3,FALSE)="",
    "",
    VLOOKUP($A117,祝日!$A:$C,3,FALSE)
  ),
  ""
)</f>
        <v/>
      </c>
    </row>
    <row r="118" spans="1:4" ht="15.75" x14ac:dyDescent="0.25">
      <c r="A118" s="35">
        <v>43947</v>
      </c>
      <c r="B118" s="60">
        <f t="shared" si="1"/>
        <v>0</v>
      </c>
      <c r="C118" s="36" t="str">
        <f>IFERROR(
  IF(
    VLOOKUP($A118,祝日!$A:$C,2,FALSE)="",
    "",
    VLOOKUP($A118,祝日!$A:$C,2,FALSE)
  ),
  ""
)</f>
        <v/>
      </c>
      <c r="D118" s="36" t="str">
        <f>IFERROR(
  IF(
    VLOOKUP($A118,祝日!$A:$C,3,FALSE)="",
    "",
    VLOOKUP($A118,祝日!$A:$C,3,FALSE)
  ),
  ""
)</f>
        <v/>
      </c>
    </row>
    <row r="119" spans="1:4" ht="15.75" x14ac:dyDescent="0.25">
      <c r="A119" s="35">
        <v>43948</v>
      </c>
      <c r="B119" s="60">
        <f t="shared" si="1"/>
        <v>8</v>
      </c>
      <c r="C119" s="36" t="str">
        <f>IFERROR(
  IF(
    VLOOKUP($A119,祝日!$A:$C,2,FALSE)="",
    "",
    VLOOKUP($A119,祝日!$A:$C,2,FALSE)
  ),
  ""
)</f>
        <v/>
      </c>
      <c r="D119" s="36" t="str">
        <f>IFERROR(
  IF(
    VLOOKUP($A119,祝日!$A:$C,3,FALSE)="",
    "",
    VLOOKUP($A119,祝日!$A:$C,3,FALSE)
  ),
  ""
)</f>
        <v/>
      </c>
    </row>
    <row r="120" spans="1:4" ht="15.75" x14ac:dyDescent="0.25">
      <c r="A120" s="35">
        <v>43949</v>
      </c>
      <c r="B120" s="60">
        <f t="shared" si="1"/>
        <v>8</v>
      </c>
      <c r="C120" s="36" t="str">
        <f>IFERROR(
  IF(
    VLOOKUP($A120,祝日!$A:$C,2,FALSE)="",
    "",
    VLOOKUP($A120,祝日!$A:$C,2,FALSE)
  ),
  ""
)</f>
        <v/>
      </c>
      <c r="D120" s="36" t="str">
        <f>IFERROR(
  IF(
    VLOOKUP($A120,祝日!$A:$C,3,FALSE)="",
    "",
    VLOOKUP($A120,祝日!$A:$C,3,FALSE)
  ),
  ""
)</f>
        <v/>
      </c>
    </row>
    <row r="121" spans="1:4" ht="15.75" x14ac:dyDescent="0.25">
      <c r="A121" s="35">
        <v>43950</v>
      </c>
      <c r="B121" s="60">
        <f t="shared" si="1"/>
        <v>8</v>
      </c>
      <c r="C121" s="36" t="str">
        <f>IFERROR(
  IF(
    VLOOKUP($A121,祝日!$A:$C,2,FALSE)="",
    "",
    VLOOKUP($A121,祝日!$A:$C,2,FALSE)
  ),
  ""
)</f>
        <v xml:space="preserve">昭和の日 </v>
      </c>
      <c r="D121" s="36" t="str">
        <f>IFERROR(
  IF(
    VLOOKUP($A121,祝日!$A:$C,3,FALSE)="",
    "",
    VLOOKUP($A121,祝日!$A:$C,3,FALSE)
  ),
  ""
)</f>
        <v/>
      </c>
    </row>
    <row r="122" spans="1:4" ht="15.75" x14ac:dyDescent="0.25">
      <c r="A122" s="35">
        <v>43951</v>
      </c>
      <c r="B122" s="60">
        <f t="shared" si="1"/>
        <v>8</v>
      </c>
      <c r="C122" s="36" t="str">
        <f>IFERROR(
  IF(
    VLOOKUP($A122,祝日!$A:$C,2,FALSE)="",
    "",
    VLOOKUP($A122,祝日!$A:$C,2,FALSE)
  ),
  ""
)</f>
        <v/>
      </c>
      <c r="D122" s="36" t="str">
        <f>IFERROR(
  IF(
    VLOOKUP($A122,祝日!$A:$C,3,FALSE)="",
    "",
    VLOOKUP($A122,祝日!$A:$C,3,FALSE)
  ),
  ""
)</f>
        <v/>
      </c>
    </row>
    <row r="123" spans="1:4" ht="15.75" x14ac:dyDescent="0.25">
      <c r="A123" s="35">
        <v>43952</v>
      </c>
      <c r="B123" s="60">
        <f t="shared" si="1"/>
        <v>8</v>
      </c>
      <c r="C123" s="36" t="str">
        <f>IFERROR(
  IF(
    VLOOKUP($A123,祝日!$A:$C,2,FALSE)="",
    "",
    VLOOKUP($A123,祝日!$A:$C,2,FALSE)
  ),
  ""
)</f>
        <v/>
      </c>
      <c r="D123" s="36" t="str">
        <f>IFERROR(
  IF(
    VLOOKUP($A123,祝日!$A:$C,3,FALSE)="",
    "",
    VLOOKUP($A123,祝日!$A:$C,3,FALSE)
  ),
  ""
)</f>
        <v/>
      </c>
    </row>
    <row r="124" spans="1:4" ht="15.75" x14ac:dyDescent="0.25">
      <c r="A124" s="35">
        <v>43953</v>
      </c>
      <c r="B124" s="60">
        <f t="shared" si="1"/>
        <v>0</v>
      </c>
      <c r="C124" s="36" t="str">
        <f>IFERROR(
  IF(
    VLOOKUP($A124,祝日!$A:$C,2,FALSE)="",
    "",
    VLOOKUP($A124,祝日!$A:$C,2,FALSE)
  ),
  ""
)</f>
        <v/>
      </c>
      <c r="D124" s="36" t="str">
        <f>IFERROR(
  IF(
    VLOOKUP($A124,祝日!$A:$C,3,FALSE)="",
    "",
    VLOOKUP($A124,祝日!$A:$C,3,FALSE)
  ),
  ""
)</f>
        <v/>
      </c>
    </row>
    <row r="125" spans="1:4" ht="15.75" x14ac:dyDescent="0.25">
      <c r="A125" s="35">
        <v>43954</v>
      </c>
      <c r="B125" s="60">
        <f t="shared" si="1"/>
        <v>0</v>
      </c>
      <c r="C125" s="36" t="str">
        <f>IFERROR(
  IF(
    VLOOKUP($A125,祝日!$A:$C,2,FALSE)="",
    "",
    VLOOKUP($A125,祝日!$A:$C,2,FALSE)
  ),
  ""
)</f>
        <v xml:space="preserve">憲法記念日 </v>
      </c>
      <c r="D125" s="36" t="str">
        <f>IFERROR(
  IF(
    VLOOKUP($A125,祝日!$A:$C,3,FALSE)="",
    "",
    VLOOKUP($A125,祝日!$A:$C,3,FALSE)
  ),
  ""
)</f>
        <v/>
      </c>
    </row>
    <row r="126" spans="1:4" ht="15.75" x14ac:dyDescent="0.25">
      <c r="A126" s="35">
        <v>43955</v>
      </c>
      <c r="B126" s="60">
        <f t="shared" si="1"/>
        <v>8</v>
      </c>
      <c r="C126" s="36" t="str">
        <f>IFERROR(
  IF(
    VLOOKUP($A126,祝日!$A:$C,2,FALSE)="",
    "",
    VLOOKUP($A126,祝日!$A:$C,2,FALSE)
  ),
  ""
)</f>
        <v xml:space="preserve">みどりの日 </v>
      </c>
      <c r="D126" s="36" t="str">
        <f>IFERROR(
  IF(
    VLOOKUP($A126,祝日!$A:$C,3,FALSE)="",
    "",
    VLOOKUP($A126,祝日!$A:$C,3,FALSE)
  ),
  ""
)</f>
        <v/>
      </c>
    </row>
    <row r="127" spans="1:4" ht="15.75" x14ac:dyDescent="0.25">
      <c r="A127" s="35">
        <v>43956</v>
      </c>
      <c r="B127" s="60">
        <f t="shared" si="1"/>
        <v>8</v>
      </c>
      <c r="C127" s="36" t="str">
        <f>IFERROR(
  IF(
    VLOOKUP($A127,祝日!$A:$C,2,FALSE)="",
    "",
    VLOOKUP($A127,祝日!$A:$C,2,FALSE)
  ),
  ""
)</f>
        <v xml:space="preserve">こどもの日 </v>
      </c>
      <c r="D127" s="36" t="str">
        <f>IFERROR(
  IF(
    VLOOKUP($A127,祝日!$A:$C,3,FALSE)="",
    "",
    VLOOKUP($A127,祝日!$A:$C,3,FALSE)
  ),
  ""
)</f>
        <v/>
      </c>
    </row>
    <row r="128" spans="1:4" ht="15.75" x14ac:dyDescent="0.25">
      <c r="A128" s="35">
        <v>43957</v>
      </c>
      <c r="B128" s="60">
        <f t="shared" si="1"/>
        <v>8</v>
      </c>
      <c r="C128" s="36" t="str">
        <f>IFERROR(
  IF(
    VLOOKUP($A128,祝日!$A:$C,2,FALSE)="",
    "",
    VLOOKUP($A128,祝日!$A:$C,2,FALSE)
  ),
  ""
)</f>
        <v xml:space="preserve">休日 </v>
      </c>
      <c r="D128" s="36" t="str">
        <f>IFERROR(
  IF(
    VLOOKUP($A128,祝日!$A:$C,3,FALSE)="",
    "",
    VLOOKUP($A128,祝日!$A:$C,3,FALSE)
  ),
  ""
)</f>
        <v>憲法記念日の振り替え休日</v>
      </c>
    </row>
    <row r="129" spans="1:4" ht="15.75" x14ac:dyDescent="0.25">
      <c r="A129" s="35">
        <v>43958</v>
      </c>
      <c r="B129" s="60">
        <f t="shared" si="1"/>
        <v>8</v>
      </c>
      <c r="C129" s="36" t="str">
        <f>IFERROR(
  IF(
    VLOOKUP($A129,祝日!$A:$C,2,FALSE)="",
    "",
    VLOOKUP($A129,祝日!$A:$C,2,FALSE)
  ),
  ""
)</f>
        <v/>
      </c>
      <c r="D129" s="36" t="str">
        <f>IFERROR(
  IF(
    VLOOKUP($A129,祝日!$A:$C,3,FALSE)="",
    "",
    VLOOKUP($A129,祝日!$A:$C,3,FALSE)
  ),
  ""
)</f>
        <v/>
      </c>
    </row>
    <row r="130" spans="1:4" ht="15.75" x14ac:dyDescent="0.25">
      <c r="A130" s="35">
        <v>43959</v>
      </c>
      <c r="B130" s="60">
        <f t="shared" si="1"/>
        <v>8</v>
      </c>
      <c r="C130" s="36" t="str">
        <f>IFERROR(
  IF(
    VLOOKUP($A130,祝日!$A:$C,2,FALSE)="",
    "",
    VLOOKUP($A130,祝日!$A:$C,2,FALSE)
  ),
  ""
)</f>
        <v/>
      </c>
      <c r="D130" s="36" t="str">
        <f>IFERROR(
  IF(
    VLOOKUP($A130,祝日!$A:$C,3,FALSE)="",
    "",
    VLOOKUP($A130,祝日!$A:$C,3,FALSE)
  ),
  ""
)</f>
        <v/>
      </c>
    </row>
    <row r="131" spans="1:4" ht="15.75" x14ac:dyDescent="0.25">
      <c r="A131" s="35">
        <v>43960</v>
      </c>
      <c r="B131" s="60">
        <f t="shared" ref="B131:B194" si="2">IF(OR(5&lt;WEEKDAY(A131,2)),0,8)</f>
        <v>0</v>
      </c>
      <c r="C131" s="36" t="str">
        <f>IFERROR(
  IF(
    VLOOKUP($A131,祝日!$A:$C,2,FALSE)="",
    "",
    VLOOKUP($A131,祝日!$A:$C,2,FALSE)
  ),
  ""
)</f>
        <v/>
      </c>
      <c r="D131" s="36" t="str">
        <f>IFERROR(
  IF(
    VLOOKUP($A131,祝日!$A:$C,3,FALSE)="",
    "",
    VLOOKUP($A131,祝日!$A:$C,3,FALSE)
  ),
  ""
)</f>
        <v/>
      </c>
    </row>
    <row r="132" spans="1:4" ht="15.75" x14ac:dyDescent="0.25">
      <c r="A132" s="35">
        <v>43961</v>
      </c>
      <c r="B132" s="60">
        <f t="shared" si="2"/>
        <v>0</v>
      </c>
      <c r="C132" s="36" t="str">
        <f>IFERROR(
  IF(
    VLOOKUP($A132,祝日!$A:$C,2,FALSE)="",
    "",
    VLOOKUP($A132,祝日!$A:$C,2,FALSE)
  ),
  ""
)</f>
        <v/>
      </c>
      <c r="D132" s="36" t="str">
        <f>IFERROR(
  IF(
    VLOOKUP($A132,祝日!$A:$C,3,FALSE)="",
    "",
    VLOOKUP($A132,祝日!$A:$C,3,FALSE)
  ),
  ""
)</f>
        <v/>
      </c>
    </row>
    <row r="133" spans="1:4" ht="15.75" x14ac:dyDescent="0.25">
      <c r="A133" s="35">
        <v>43962</v>
      </c>
      <c r="B133" s="60">
        <f t="shared" si="2"/>
        <v>8</v>
      </c>
      <c r="C133" s="36" t="str">
        <f>IFERROR(
  IF(
    VLOOKUP($A133,祝日!$A:$C,2,FALSE)="",
    "",
    VLOOKUP($A133,祝日!$A:$C,2,FALSE)
  ),
  ""
)</f>
        <v/>
      </c>
      <c r="D133" s="36" t="str">
        <f>IFERROR(
  IF(
    VLOOKUP($A133,祝日!$A:$C,3,FALSE)="",
    "",
    VLOOKUP($A133,祝日!$A:$C,3,FALSE)
  ),
  ""
)</f>
        <v/>
      </c>
    </row>
    <row r="134" spans="1:4" ht="15.75" x14ac:dyDescent="0.25">
      <c r="A134" s="35">
        <v>43963</v>
      </c>
      <c r="B134" s="60">
        <f t="shared" si="2"/>
        <v>8</v>
      </c>
      <c r="C134" s="36" t="str">
        <f>IFERROR(
  IF(
    VLOOKUP($A134,祝日!$A:$C,2,FALSE)="",
    "",
    VLOOKUP($A134,祝日!$A:$C,2,FALSE)
  ),
  ""
)</f>
        <v/>
      </c>
      <c r="D134" s="36" t="str">
        <f>IFERROR(
  IF(
    VLOOKUP($A134,祝日!$A:$C,3,FALSE)="",
    "",
    VLOOKUP($A134,祝日!$A:$C,3,FALSE)
  ),
  ""
)</f>
        <v/>
      </c>
    </row>
    <row r="135" spans="1:4" ht="15.75" x14ac:dyDescent="0.25">
      <c r="A135" s="35">
        <v>43964</v>
      </c>
      <c r="B135" s="60">
        <f t="shared" si="2"/>
        <v>8</v>
      </c>
      <c r="C135" s="36" t="str">
        <f>IFERROR(
  IF(
    VLOOKUP($A135,祝日!$A:$C,2,FALSE)="",
    "",
    VLOOKUP($A135,祝日!$A:$C,2,FALSE)
  ),
  ""
)</f>
        <v/>
      </c>
      <c r="D135" s="36" t="str">
        <f>IFERROR(
  IF(
    VLOOKUP($A135,祝日!$A:$C,3,FALSE)="",
    "",
    VLOOKUP($A135,祝日!$A:$C,3,FALSE)
  ),
  ""
)</f>
        <v/>
      </c>
    </row>
    <row r="136" spans="1:4" ht="15.75" x14ac:dyDescent="0.25">
      <c r="A136" s="35">
        <v>43965</v>
      </c>
      <c r="B136" s="60">
        <f t="shared" si="2"/>
        <v>8</v>
      </c>
      <c r="C136" s="36" t="str">
        <f>IFERROR(
  IF(
    VLOOKUP($A136,祝日!$A:$C,2,FALSE)="",
    "",
    VLOOKUP($A136,祝日!$A:$C,2,FALSE)
  ),
  ""
)</f>
        <v/>
      </c>
      <c r="D136" s="36" t="str">
        <f>IFERROR(
  IF(
    VLOOKUP($A136,祝日!$A:$C,3,FALSE)="",
    "",
    VLOOKUP($A136,祝日!$A:$C,3,FALSE)
  ),
  ""
)</f>
        <v/>
      </c>
    </row>
    <row r="137" spans="1:4" ht="15.75" x14ac:dyDescent="0.25">
      <c r="A137" s="35">
        <v>43966</v>
      </c>
      <c r="B137" s="60">
        <f t="shared" si="2"/>
        <v>8</v>
      </c>
      <c r="C137" s="36" t="str">
        <f>IFERROR(
  IF(
    VLOOKUP($A137,祝日!$A:$C,2,FALSE)="",
    "",
    VLOOKUP($A137,祝日!$A:$C,2,FALSE)
  ),
  ""
)</f>
        <v/>
      </c>
      <c r="D137" s="36" t="str">
        <f>IFERROR(
  IF(
    VLOOKUP($A137,祝日!$A:$C,3,FALSE)="",
    "",
    VLOOKUP($A137,祝日!$A:$C,3,FALSE)
  ),
  ""
)</f>
        <v/>
      </c>
    </row>
    <row r="138" spans="1:4" ht="15.75" x14ac:dyDescent="0.25">
      <c r="A138" s="35">
        <v>43967</v>
      </c>
      <c r="B138" s="60">
        <f t="shared" si="2"/>
        <v>0</v>
      </c>
      <c r="C138" s="36" t="str">
        <f>IFERROR(
  IF(
    VLOOKUP($A138,祝日!$A:$C,2,FALSE)="",
    "",
    VLOOKUP($A138,祝日!$A:$C,2,FALSE)
  ),
  ""
)</f>
        <v/>
      </c>
      <c r="D138" s="36" t="str">
        <f>IFERROR(
  IF(
    VLOOKUP($A138,祝日!$A:$C,3,FALSE)="",
    "",
    VLOOKUP($A138,祝日!$A:$C,3,FALSE)
  ),
  ""
)</f>
        <v/>
      </c>
    </row>
    <row r="139" spans="1:4" ht="15.75" x14ac:dyDescent="0.25">
      <c r="A139" s="35">
        <v>43968</v>
      </c>
      <c r="B139" s="60">
        <f t="shared" si="2"/>
        <v>0</v>
      </c>
      <c r="C139" s="36" t="str">
        <f>IFERROR(
  IF(
    VLOOKUP($A139,祝日!$A:$C,2,FALSE)="",
    "",
    VLOOKUP($A139,祝日!$A:$C,2,FALSE)
  ),
  ""
)</f>
        <v/>
      </c>
      <c r="D139" s="36" t="str">
        <f>IFERROR(
  IF(
    VLOOKUP($A139,祝日!$A:$C,3,FALSE)="",
    "",
    VLOOKUP($A139,祝日!$A:$C,3,FALSE)
  ),
  ""
)</f>
        <v/>
      </c>
    </row>
    <row r="140" spans="1:4" ht="15.75" x14ac:dyDescent="0.25">
      <c r="A140" s="35">
        <v>43969</v>
      </c>
      <c r="B140" s="60">
        <f t="shared" si="2"/>
        <v>8</v>
      </c>
      <c r="C140" s="36" t="str">
        <f>IFERROR(
  IF(
    VLOOKUP($A140,祝日!$A:$C,2,FALSE)="",
    "",
    VLOOKUP($A140,祝日!$A:$C,2,FALSE)
  ),
  ""
)</f>
        <v/>
      </c>
      <c r="D140" s="36" t="str">
        <f>IFERROR(
  IF(
    VLOOKUP($A140,祝日!$A:$C,3,FALSE)="",
    "",
    VLOOKUP($A140,祝日!$A:$C,3,FALSE)
  ),
  ""
)</f>
        <v/>
      </c>
    </row>
    <row r="141" spans="1:4" ht="15.75" x14ac:dyDescent="0.25">
      <c r="A141" s="35">
        <v>43970</v>
      </c>
      <c r="B141" s="60">
        <f t="shared" si="2"/>
        <v>8</v>
      </c>
      <c r="C141" s="36" t="str">
        <f>IFERROR(
  IF(
    VLOOKUP($A141,祝日!$A:$C,2,FALSE)="",
    "",
    VLOOKUP($A141,祝日!$A:$C,2,FALSE)
  ),
  ""
)</f>
        <v/>
      </c>
      <c r="D141" s="36" t="str">
        <f>IFERROR(
  IF(
    VLOOKUP($A141,祝日!$A:$C,3,FALSE)="",
    "",
    VLOOKUP($A141,祝日!$A:$C,3,FALSE)
  ),
  ""
)</f>
        <v/>
      </c>
    </row>
    <row r="142" spans="1:4" ht="15.75" x14ac:dyDescent="0.25">
      <c r="A142" s="35">
        <v>43971</v>
      </c>
      <c r="B142" s="60">
        <f t="shared" si="2"/>
        <v>8</v>
      </c>
      <c r="C142" s="36" t="str">
        <f>IFERROR(
  IF(
    VLOOKUP($A142,祝日!$A:$C,2,FALSE)="",
    "",
    VLOOKUP($A142,祝日!$A:$C,2,FALSE)
  ),
  ""
)</f>
        <v/>
      </c>
      <c r="D142" s="36" t="str">
        <f>IFERROR(
  IF(
    VLOOKUP($A142,祝日!$A:$C,3,FALSE)="",
    "",
    VLOOKUP($A142,祝日!$A:$C,3,FALSE)
  ),
  ""
)</f>
        <v/>
      </c>
    </row>
    <row r="143" spans="1:4" ht="15.75" x14ac:dyDescent="0.25">
      <c r="A143" s="35">
        <v>43972</v>
      </c>
      <c r="B143" s="60">
        <f t="shared" si="2"/>
        <v>8</v>
      </c>
      <c r="C143" s="36" t="str">
        <f>IFERROR(
  IF(
    VLOOKUP($A143,祝日!$A:$C,2,FALSE)="",
    "",
    VLOOKUP($A143,祝日!$A:$C,2,FALSE)
  ),
  ""
)</f>
        <v/>
      </c>
      <c r="D143" s="36" t="str">
        <f>IFERROR(
  IF(
    VLOOKUP($A143,祝日!$A:$C,3,FALSE)="",
    "",
    VLOOKUP($A143,祝日!$A:$C,3,FALSE)
  ),
  ""
)</f>
        <v/>
      </c>
    </row>
    <row r="144" spans="1:4" ht="15.75" x14ac:dyDescent="0.25">
      <c r="A144" s="35">
        <v>43973</v>
      </c>
      <c r="B144" s="60">
        <f t="shared" si="2"/>
        <v>8</v>
      </c>
      <c r="C144" s="36" t="str">
        <f>IFERROR(
  IF(
    VLOOKUP($A144,祝日!$A:$C,2,FALSE)="",
    "",
    VLOOKUP($A144,祝日!$A:$C,2,FALSE)
  ),
  ""
)</f>
        <v/>
      </c>
      <c r="D144" s="36" t="str">
        <f>IFERROR(
  IF(
    VLOOKUP($A144,祝日!$A:$C,3,FALSE)="",
    "",
    VLOOKUP($A144,祝日!$A:$C,3,FALSE)
  ),
  ""
)</f>
        <v/>
      </c>
    </row>
    <row r="145" spans="1:4" ht="15.75" x14ac:dyDescent="0.25">
      <c r="A145" s="35">
        <v>43974</v>
      </c>
      <c r="B145" s="60">
        <f t="shared" si="2"/>
        <v>0</v>
      </c>
      <c r="C145" s="36" t="str">
        <f>IFERROR(
  IF(
    VLOOKUP($A145,祝日!$A:$C,2,FALSE)="",
    "",
    VLOOKUP($A145,祝日!$A:$C,2,FALSE)
  ),
  ""
)</f>
        <v/>
      </c>
      <c r="D145" s="36" t="str">
        <f>IFERROR(
  IF(
    VLOOKUP($A145,祝日!$A:$C,3,FALSE)="",
    "",
    VLOOKUP($A145,祝日!$A:$C,3,FALSE)
  ),
  ""
)</f>
        <v/>
      </c>
    </row>
    <row r="146" spans="1:4" ht="15.75" x14ac:dyDescent="0.25">
      <c r="A146" s="35">
        <v>43975</v>
      </c>
      <c r="B146" s="60">
        <f t="shared" si="2"/>
        <v>0</v>
      </c>
      <c r="C146" s="36" t="str">
        <f>IFERROR(
  IF(
    VLOOKUP($A146,祝日!$A:$C,2,FALSE)="",
    "",
    VLOOKUP($A146,祝日!$A:$C,2,FALSE)
  ),
  ""
)</f>
        <v/>
      </c>
      <c r="D146" s="36" t="str">
        <f>IFERROR(
  IF(
    VLOOKUP($A146,祝日!$A:$C,3,FALSE)="",
    "",
    VLOOKUP($A146,祝日!$A:$C,3,FALSE)
  ),
  ""
)</f>
        <v/>
      </c>
    </row>
    <row r="147" spans="1:4" ht="15.75" x14ac:dyDescent="0.25">
      <c r="A147" s="35">
        <v>43976</v>
      </c>
      <c r="B147" s="60">
        <f t="shared" si="2"/>
        <v>8</v>
      </c>
      <c r="C147" s="36" t="str">
        <f>IFERROR(
  IF(
    VLOOKUP($A147,祝日!$A:$C,2,FALSE)="",
    "",
    VLOOKUP($A147,祝日!$A:$C,2,FALSE)
  ),
  ""
)</f>
        <v/>
      </c>
      <c r="D147" s="36" t="str">
        <f>IFERROR(
  IF(
    VLOOKUP($A147,祝日!$A:$C,3,FALSE)="",
    "",
    VLOOKUP($A147,祝日!$A:$C,3,FALSE)
  ),
  ""
)</f>
        <v/>
      </c>
    </row>
    <row r="148" spans="1:4" ht="15.75" x14ac:dyDescent="0.25">
      <c r="A148" s="35">
        <v>43977</v>
      </c>
      <c r="B148" s="60">
        <f t="shared" si="2"/>
        <v>8</v>
      </c>
      <c r="C148" s="36" t="str">
        <f>IFERROR(
  IF(
    VLOOKUP($A148,祝日!$A:$C,2,FALSE)="",
    "",
    VLOOKUP($A148,祝日!$A:$C,2,FALSE)
  ),
  ""
)</f>
        <v/>
      </c>
      <c r="D148" s="36" t="str">
        <f>IFERROR(
  IF(
    VLOOKUP($A148,祝日!$A:$C,3,FALSE)="",
    "",
    VLOOKUP($A148,祝日!$A:$C,3,FALSE)
  ),
  ""
)</f>
        <v/>
      </c>
    </row>
    <row r="149" spans="1:4" ht="15.75" x14ac:dyDescent="0.25">
      <c r="A149" s="35">
        <v>43978</v>
      </c>
      <c r="B149" s="60">
        <f t="shared" si="2"/>
        <v>8</v>
      </c>
      <c r="C149" s="36" t="str">
        <f>IFERROR(
  IF(
    VLOOKUP($A149,祝日!$A:$C,2,FALSE)="",
    "",
    VLOOKUP($A149,祝日!$A:$C,2,FALSE)
  ),
  ""
)</f>
        <v/>
      </c>
      <c r="D149" s="36" t="str">
        <f>IFERROR(
  IF(
    VLOOKUP($A149,祝日!$A:$C,3,FALSE)="",
    "",
    VLOOKUP($A149,祝日!$A:$C,3,FALSE)
  ),
  ""
)</f>
        <v/>
      </c>
    </row>
    <row r="150" spans="1:4" ht="15.75" x14ac:dyDescent="0.25">
      <c r="A150" s="35">
        <v>43979</v>
      </c>
      <c r="B150" s="60">
        <f t="shared" si="2"/>
        <v>8</v>
      </c>
      <c r="C150" s="36" t="str">
        <f>IFERROR(
  IF(
    VLOOKUP($A150,祝日!$A:$C,2,FALSE)="",
    "",
    VLOOKUP($A150,祝日!$A:$C,2,FALSE)
  ),
  ""
)</f>
        <v/>
      </c>
      <c r="D150" s="36" t="str">
        <f>IFERROR(
  IF(
    VLOOKUP($A150,祝日!$A:$C,3,FALSE)="",
    "",
    VLOOKUP($A150,祝日!$A:$C,3,FALSE)
  ),
  ""
)</f>
        <v/>
      </c>
    </row>
    <row r="151" spans="1:4" ht="15.75" x14ac:dyDescent="0.25">
      <c r="A151" s="35">
        <v>43980</v>
      </c>
      <c r="B151" s="60">
        <f t="shared" si="2"/>
        <v>8</v>
      </c>
      <c r="C151" s="36" t="str">
        <f>IFERROR(
  IF(
    VLOOKUP($A151,祝日!$A:$C,2,FALSE)="",
    "",
    VLOOKUP($A151,祝日!$A:$C,2,FALSE)
  ),
  ""
)</f>
        <v/>
      </c>
      <c r="D151" s="36" t="str">
        <f>IFERROR(
  IF(
    VLOOKUP($A151,祝日!$A:$C,3,FALSE)="",
    "",
    VLOOKUP($A151,祝日!$A:$C,3,FALSE)
  ),
  ""
)</f>
        <v/>
      </c>
    </row>
    <row r="152" spans="1:4" ht="15.75" x14ac:dyDescent="0.25">
      <c r="A152" s="35">
        <v>43981</v>
      </c>
      <c r="B152" s="60">
        <f t="shared" si="2"/>
        <v>0</v>
      </c>
      <c r="C152" s="36" t="str">
        <f>IFERROR(
  IF(
    VLOOKUP($A152,祝日!$A:$C,2,FALSE)="",
    "",
    VLOOKUP($A152,祝日!$A:$C,2,FALSE)
  ),
  ""
)</f>
        <v/>
      </c>
      <c r="D152" s="36" t="str">
        <f>IFERROR(
  IF(
    VLOOKUP($A152,祝日!$A:$C,3,FALSE)="",
    "",
    VLOOKUP($A152,祝日!$A:$C,3,FALSE)
  ),
  ""
)</f>
        <v/>
      </c>
    </row>
    <row r="153" spans="1:4" ht="15.75" x14ac:dyDescent="0.25">
      <c r="A153" s="35">
        <v>43982</v>
      </c>
      <c r="B153" s="60">
        <f t="shared" si="2"/>
        <v>0</v>
      </c>
      <c r="C153" s="36" t="str">
        <f>IFERROR(
  IF(
    VLOOKUP($A153,祝日!$A:$C,2,FALSE)="",
    "",
    VLOOKUP($A153,祝日!$A:$C,2,FALSE)
  ),
  ""
)</f>
        <v/>
      </c>
      <c r="D153" s="36" t="str">
        <f>IFERROR(
  IF(
    VLOOKUP($A153,祝日!$A:$C,3,FALSE)="",
    "",
    VLOOKUP($A153,祝日!$A:$C,3,FALSE)
  ),
  ""
)</f>
        <v/>
      </c>
    </row>
    <row r="154" spans="1:4" ht="15.75" x14ac:dyDescent="0.25">
      <c r="A154" s="35">
        <v>43983</v>
      </c>
      <c r="B154" s="60">
        <f t="shared" si="2"/>
        <v>8</v>
      </c>
      <c r="C154" s="36" t="str">
        <f>IFERROR(
  IF(
    VLOOKUP($A154,祝日!$A:$C,2,FALSE)="",
    "",
    VLOOKUP($A154,祝日!$A:$C,2,FALSE)
  ),
  ""
)</f>
        <v/>
      </c>
      <c r="D154" s="36" t="str">
        <f>IFERROR(
  IF(
    VLOOKUP($A154,祝日!$A:$C,3,FALSE)="",
    "",
    VLOOKUP($A154,祝日!$A:$C,3,FALSE)
  ),
  ""
)</f>
        <v/>
      </c>
    </row>
    <row r="155" spans="1:4" ht="15.75" x14ac:dyDescent="0.25">
      <c r="A155" s="35">
        <v>43984</v>
      </c>
      <c r="B155" s="60">
        <f t="shared" si="2"/>
        <v>8</v>
      </c>
      <c r="C155" s="36" t="str">
        <f>IFERROR(
  IF(
    VLOOKUP($A155,祝日!$A:$C,2,FALSE)="",
    "",
    VLOOKUP($A155,祝日!$A:$C,2,FALSE)
  ),
  ""
)</f>
        <v/>
      </c>
      <c r="D155" s="36" t="str">
        <f>IFERROR(
  IF(
    VLOOKUP($A155,祝日!$A:$C,3,FALSE)="",
    "",
    VLOOKUP($A155,祝日!$A:$C,3,FALSE)
  ),
  ""
)</f>
        <v/>
      </c>
    </row>
    <row r="156" spans="1:4" ht="15.75" x14ac:dyDescent="0.25">
      <c r="A156" s="35">
        <v>43985</v>
      </c>
      <c r="B156" s="60">
        <f t="shared" si="2"/>
        <v>8</v>
      </c>
      <c r="C156" s="36" t="str">
        <f>IFERROR(
  IF(
    VLOOKUP($A156,祝日!$A:$C,2,FALSE)="",
    "",
    VLOOKUP($A156,祝日!$A:$C,2,FALSE)
  ),
  ""
)</f>
        <v/>
      </c>
      <c r="D156" s="36" t="str">
        <f>IFERROR(
  IF(
    VLOOKUP($A156,祝日!$A:$C,3,FALSE)="",
    "",
    VLOOKUP($A156,祝日!$A:$C,3,FALSE)
  ),
  ""
)</f>
        <v/>
      </c>
    </row>
    <row r="157" spans="1:4" ht="15.75" x14ac:dyDescent="0.25">
      <c r="A157" s="35">
        <v>43986</v>
      </c>
      <c r="B157" s="60">
        <f t="shared" si="2"/>
        <v>8</v>
      </c>
      <c r="C157" s="36" t="str">
        <f>IFERROR(
  IF(
    VLOOKUP($A157,祝日!$A:$C,2,FALSE)="",
    "",
    VLOOKUP($A157,祝日!$A:$C,2,FALSE)
  ),
  ""
)</f>
        <v/>
      </c>
      <c r="D157" s="36" t="str">
        <f>IFERROR(
  IF(
    VLOOKUP($A157,祝日!$A:$C,3,FALSE)="",
    "",
    VLOOKUP($A157,祝日!$A:$C,3,FALSE)
  ),
  ""
)</f>
        <v/>
      </c>
    </row>
    <row r="158" spans="1:4" ht="15.75" x14ac:dyDescent="0.25">
      <c r="A158" s="35">
        <v>43987</v>
      </c>
      <c r="B158" s="60">
        <f t="shared" si="2"/>
        <v>8</v>
      </c>
      <c r="C158" s="36" t="str">
        <f>IFERROR(
  IF(
    VLOOKUP($A158,祝日!$A:$C,2,FALSE)="",
    "",
    VLOOKUP($A158,祝日!$A:$C,2,FALSE)
  ),
  ""
)</f>
        <v/>
      </c>
      <c r="D158" s="36" t="str">
        <f>IFERROR(
  IF(
    VLOOKUP($A158,祝日!$A:$C,3,FALSE)="",
    "",
    VLOOKUP($A158,祝日!$A:$C,3,FALSE)
  ),
  ""
)</f>
        <v/>
      </c>
    </row>
    <row r="159" spans="1:4" ht="15.75" x14ac:dyDescent="0.25">
      <c r="A159" s="35">
        <v>43988</v>
      </c>
      <c r="B159" s="60">
        <f t="shared" si="2"/>
        <v>0</v>
      </c>
      <c r="C159" s="36" t="str">
        <f>IFERROR(
  IF(
    VLOOKUP($A159,祝日!$A:$C,2,FALSE)="",
    "",
    VLOOKUP($A159,祝日!$A:$C,2,FALSE)
  ),
  ""
)</f>
        <v/>
      </c>
      <c r="D159" s="36" t="str">
        <f>IFERROR(
  IF(
    VLOOKUP($A159,祝日!$A:$C,3,FALSE)="",
    "",
    VLOOKUP($A159,祝日!$A:$C,3,FALSE)
  ),
  ""
)</f>
        <v/>
      </c>
    </row>
    <row r="160" spans="1:4" ht="15.75" x14ac:dyDescent="0.25">
      <c r="A160" s="35">
        <v>43989</v>
      </c>
      <c r="B160" s="60">
        <f t="shared" si="2"/>
        <v>0</v>
      </c>
      <c r="C160" s="36" t="str">
        <f>IFERROR(
  IF(
    VLOOKUP($A160,祝日!$A:$C,2,FALSE)="",
    "",
    VLOOKUP($A160,祝日!$A:$C,2,FALSE)
  ),
  ""
)</f>
        <v/>
      </c>
      <c r="D160" s="36" t="str">
        <f>IFERROR(
  IF(
    VLOOKUP($A160,祝日!$A:$C,3,FALSE)="",
    "",
    VLOOKUP($A160,祝日!$A:$C,3,FALSE)
  ),
  ""
)</f>
        <v/>
      </c>
    </row>
    <row r="161" spans="1:4" ht="15.75" x14ac:dyDescent="0.25">
      <c r="A161" s="35">
        <v>43990</v>
      </c>
      <c r="B161" s="60">
        <f t="shared" si="2"/>
        <v>8</v>
      </c>
      <c r="C161" s="36" t="str">
        <f>IFERROR(
  IF(
    VLOOKUP($A161,祝日!$A:$C,2,FALSE)="",
    "",
    VLOOKUP($A161,祝日!$A:$C,2,FALSE)
  ),
  ""
)</f>
        <v/>
      </c>
      <c r="D161" s="36" t="str">
        <f>IFERROR(
  IF(
    VLOOKUP($A161,祝日!$A:$C,3,FALSE)="",
    "",
    VLOOKUP($A161,祝日!$A:$C,3,FALSE)
  ),
  ""
)</f>
        <v/>
      </c>
    </row>
    <row r="162" spans="1:4" ht="15.75" x14ac:dyDescent="0.25">
      <c r="A162" s="35">
        <v>43991</v>
      </c>
      <c r="B162" s="60">
        <f t="shared" si="2"/>
        <v>8</v>
      </c>
      <c r="C162" s="36" t="str">
        <f>IFERROR(
  IF(
    VLOOKUP($A162,祝日!$A:$C,2,FALSE)="",
    "",
    VLOOKUP($A162,祝日!$A:$C,2,FALSE)
  ),
  ""
)</f>
        <v/>
      </c>
      <c r="D162" s="36" t="str">
        <f>IFERROR(
  IF(
    VLOOKUP($A162,祝日!$A:$C,3,FALSE)="",
    "",
    VLOOKUP($A162,祝日!$A:$C,3,FALSE)
  ),
  ""
)</f>
        <v/>
      </c>
    </row>
    <row r="163" spans="1:4" ht="15.75" x14ac:dyDescent="0.25">
      <c r="A163" s="35">
        <v>43992</v>
      </c>
      <c r="B163" s="60">
        <f t="shared" si="2"/>
        <v>8</v>
      </c>
      <c r="C163" s="36" t="str">
        <f>IFERROR(
  IF(
    VLOOKUP($A163,祝日!$A:$C,2,FALSE)="",
    "",
    VLOOKUP($A163,祝日!$A:$C,2,FALSE)
  ),
  ""
)</f>
        <v/>
      </c>
      <c r="D163" s="36" t="str">
        <f>IFERROR(
  IF(
    VLOOKUP($A163,祝日!$A:$C,3,FALSE)="",
    "",
    VLOOKUP($A163,祝日!$A:$C,3,FALSE)
  ),
  ""
)</f>
        <v/>
      </c>
    </row>
    <row r="164" spans="1:4" ht="15.75" x14ac:dyDescent="0.25">
      <c r="A164" s="35">
        <v>43993</v>
      </c>
      <c r="B164" s="60">
        <f t="shared" si="2"/>
        <v>8</v>
      </c>
      <c r="C164" s="36" t="str">
        <f>IFERROR(
  IF(
    VLOOKUP($A164,祝日!$A:$C,2,FALSE)="",
    "",
    VLOOKUP($A164,祝日!$A:$C,2,FALSE)
  ),
  ""
)</f>
        <v/>
      </c>
      <c r="D164" s="36" t="str">
        <f>IFERROR(
  IF(
    VLOOKUP($A164,祝日!$A:$C,3,FALSE)="",
    "",
    VLOOKUP($A164,祝日!$A:$C,3,FALSE)
  ),
  ""
)</f>
        <v/>
      </c>
    </row>
    <row r="165" spans="1:4" ht="15.75" x14ac:dyDescent="0.25">
      <c r="A165" s="35">
        <v>43994</v>
      </c>
      <c r="B165" s="60">
        <f t="shared" si="2"/>
        <v>8</v>
      </c>
      <c r="C165" s="36" t="str">
        <f>IFERROR(
  IF(
    VLOOKUP($A165,祝日!$A:$C,2,FALSE)="",
    "",
    VLOOKUP($A165,祝日!$A:$C,2,FALSE)
  ),
  ""
)</f>
        <v/>
      </c>
      <c r="D165" s="36" t="str">
        <f>IFERROR(
  IF(
    VLOOKUP($A165,祝日!$A:$C,3,FALSE)="",
    "",
    VLOOKUP($A165,祝日!$A:$C,3,FALSE)
  ),
  ""
)</f>
        <v/>
      </c>
    </row>
    <row r="166" spans="1:4" ht="15.75" x14ac:dyDescent="0.25">
      <c r="A166" s="35">
        <v>43995</v>
      </c>
      <c r="B166" s="60">
        <f t="shared" si="2"/>
        <v>0</v>
      </c>
      <c r="C166" s="36" t="str">
        <f>IFERROR(
  IF(
    VLOOKUP($A166,祝日!$A:$C,2,FALSE)="",
    "",
    VLOOKUP($A166,祝日!$A:$C,2,FALSE)
  ),
  ""
)</f>
        <v/>
      </c>
      <c r="D166" s="36" t="str">
        <f>IFERROR(
  IF(
    VLOOKUP($A166,祝日!$A:$C,3,FALSE)="",
    "",
    VLOOKUP($A166,祝日!$A:$C,3,FALSE)
  ),
  ""
)</f>
        <v/>
      </c>
    </row>
    <row r="167" spans="1:4" ht="15.75" x14ac:dyDescent="0.25">
      <c r="A167" s="35">
        <v>43996</v>
      </c>
      <c r="B167" s="60">
        <f t="shared" si="2"/>
        <v>0</v>
      </c>
      <c r="C167" s="36" t="str">
        <f>IFERROR(
  IF(
    VLOOKUP($A167,祝日!$A:$C,2,FALSE)="",
    "",
    VLOOKUP($A167,祝日!$A:$C,2,FALSE)
  ),
  ""
)</f>
        <v/>
      </c>
      <c r="D167" s="36" t="str">
        <f>IFERROR(
  IF(
    VLOOKUP($A167,祝日!$A:$C,3,FALSE)="",
    "",
    VLOOKUP($A167,祝日!$A:$C,3,FALSE)
  ),
  ""
)</f>
        <v/>
      </c>
    </row>
    <row r="168" spans="1:4" ht="15.75" x14ac:dyDescent="0.25">
      <c r="A168" s="35">
        <v>43997</v>
      </c>
      <c r="B168" s="60">
        <f t="shared" si="2"/>
        <v>8</v>
      </c>
      <c r="C168" s="36" t="str">
        <f>IFERROR(
  IF(
    VLOOKUP($A168,祝日!$A:$C,2,FALSE)="",
    "",
    VLOOKUP($A168,祝日!$A:$C,2,FALSE)
  ),
  ""
)</f>
        <v/>
      </c>
      <c r="D168" s="36" t="str">
        <f>IFERROR(
  IF(
    VLOOKUP($A168,祝日!$A:$C,3,FALSE)="",
    "",
    VLOOKUP($A168,祝日!$A:$C,3,FALSE)
  ),
  ""
)</f>
        <v/>
      </c>
    </row>
    <row r="169" spans="1:4" ht="15.75" x14ac:dyDescent="0.25">
      <c r="A169" s="35">
        <v>43998</v>
      </c>
      <c r="B169" s="60">
        <f t="shared" si="2"/>
        <v>8</v>
      </c>
      <c r="C169" s="36" t="str">
        <f>IFERROR(
  IF(
    VLOOKUP($A169,祝日!$A:$C,2,FALSE)="",
    "",
    VLOOKUP($A169,祝日!$A:$C,2,FALSE)
  ),
  ""
)</f>
        <v/>
      </c>
      <c r="D169" s="36" t="str">
        <f>IFERROR(
  IF(
    VLOOKUP($A169,祝日!$A:$C,3,FALSE)="",
    "",
    VLOOKUP($A169,祝日!$A:$C,3,FALSE)
  ),
  ""
)</f>
        <v/>
      </c>
    </row>
    <row r="170" spans="1:4" ht="15.75" x14ac:dyDescent="0.25">
      <c r="A170" s="35">
        <v>43999</v>
      </c>
      <c r="B170" s="60">
        <f t="shared" si="2"/>
        <v>8</v>
      </c>
      <c r="C170" s="36" t="str">
        <f>IFERROR(
  IF(
    VLOOKUP($A170,祝日!$A:$C,2,FALSE)="",
    "",
    VLOOKUP($A170,祝日!$A:$C,2,FALSE)
  ),
  ""
)</f>
        <v/>
      </c>
      <c r="D170" s="36" t="str">
        <f>IFERROR(
  IF(
    VLOOKUP($A170,祝日!$A:$C,3,FALSE)="",
    "",
    VLOOKUP($A170,祝日!$A:$C,3,FALSE)
  ),
  ""
)</f>
        <v/>
      </c>
    </row>
    <row r="171" spans="1:4" ht="15.75" x14ac:dyDescent="0.25">
      <c r="A171" s="35">
        <v>44000</v>
      </c>
      <c r="B171" s="60">
        <f t="shared" si="2"/>
        <v>8</v>
      </c>
      <c r="C171" s="36" t="str">
        <f>IFERROR(
  IF(
    VLOOKUP($A171,祝日!$A:$C,2,FALSE)="",
    "",
    VLOOKUP($A171,祝日!$A:$C,2,FALSE)
  ),
  ""
)</f>
        <v/>
      </c>
      <c r="D171" s="36" t="str">
        <f>IFERROR(
  IF(
    VLOOKUP($A171,祝日!$A:$C,3,FALSE)="",
    "",
    VLOOKUP($A171,祝日!$A:$C,3,FALSE)
  ),
  ""
)</f>
        <v/>
      </c>
    </row>
    <row r="172" spans="1:4" ht="15.75" x14ac:dyDescent="0.25">
      <c r="A172" s="35">
        <v>44001</v>
      </c>
      <c r="B172" s="60">
        <f t="shared" si="2"/>
        <v>8</v>
      </c>
      <c r="C172" s="36" t="str">
        <f>IFERROR(
  IF(
    VLOOKUP($A172,祝日!$A:$C,2,FALSE)="",
    "",
    VLOOKUP($A172,祝日!$A:$C,2,FALSE)
  ),
  ""
)</f>
        <v/>
      </c>
      <c r="D172" s="36" t="str">
        <f>IFERROR(
  IF(
    VLOOKUP($A172,祝日!$A:$C,3,FALSE)="",
    "",
    VLOOKUP($A172,祝日!$A:$C,3,FALSE)
  ),
  ""
)</f>
        <v/>
      </c>
    </row>
    <row r="173" spans="1:4" ht="15.75" x14ac:dyDescent="0.25">
      <c r="A173" s="35">
        <v>44002</v>
      </c>
      <c r="B173" s="60">
        <f t="shared" si="2"/>
        <v>0</v>
      </c>
      <c r="C173" s="36" t="str">
        <f>IFERROR(
  IF(
    VLOOKUP($A173,祝日!$A:$C,2,FALSE)="",
    "",
    VLOOKUP($A173,祝日!$A:$C,2,FALSE)
  ),
  ""
)</f>
        <v/>
      </c>
      <c r="D173" s="36" t="str">
        <f>IFERROR(
  IF(
    VLOOKUP($A173,祝日!$A:$C,3,FALSE)="",
    "",
    VLOOKUP($A173,祝日!$A:$C,3,FALSE)
  ),
  ""
)</f>
        <v/>
      </c>
    </row>
    <row r="174" spans="1:4" ht="15.75" x14ac:dyDescent="0.25">
      <c r="A174" s="35">
        <v>44003</v>
      </c>
      <c r="B174" s="60">
        <f t="shared" si="2"/>
        <v>0</v>
      </c>
      <c r="C174" s="36" t="str">
        <f>IFERROR(
  IF(
    VLOOKUP($A174,祝日!$A:$C,2,FALSE)="",
    "",
    VLOOKUP($A174,祝日!$A:$C,2,FALSE)
  ),
  ""
)</f>
        <v/>
      </c>
      <c r="D174" s="36" t="str">
        <f>IFERROR(
  IF(
    VLOOKUP($A174,祝日!$A:$C,3,FALSE)="",
    "",
    VLOOKUP($A174,祝日!$A:$C,3,FALSE)
  ),
  ""
)</f>
        <v/>
      </c>
    </row>
    <row r="175" spans="1:4" ht="15.75" x14ac:dyDescent="0.25">
      <c r="A175" s="35">
        <v>44004</v>
      </c>
      <c r="B175" s="60">
        <f t="shared" si="2"/>
        <v>8</v>
      </c>
      <c r="C175" s="36" t="str">
        <f>IFERROR(
  IF(
    VLOOKUP($A175,祝日!$A:$C,2,FALSE)="",
    "",
    VLOOKUP($A175,祝日!$A:$C,2,FALSE)
  ),
  ""
)</f>
        <v/>
      </c>
      <c r="D175" s="36" t="str">
        <f>IFERROR(
  IF(
    VLOOKUP($A175,祝日!$A:$C,3,FALSE)="",
    "",
    VLOOKUP($A175,祝日!$A:$C,3,FALSE)
  ),
  ""
)</f>
        <v/>
      </c>
    </row>
    <row r="176" spans="1:4" ht="15.75" x14ac:dyDescent="0.25">
      <c r="A176" s="35">
        <v>44005</v>
      </c>
      <c r="B176" s="60">
        <f t="shared" si="2"/>
        <v>8</v>
      </c>
      <c r="C176" s="36" t="str">
        <f>IFERROR(
  IF(
    VLOOKUP($A176,祝日!$A:$C,2,FALSE)="",
    "",
    VLOOKUP($A176,祝日!$A:$C,2,FALSE)
  ),
  ""
)</f>
        <v/>
      </c>
      <c r="D176" s="36" t="str">
        <f>IFERROR(
  IF(
    VLOOKUP($A176,祝日!$A:$C,3,FALSE)="",
    "",
    VLOOKUP($A176,祝日!$A:$C,3,FALSE)
  ),
  ""
)</f>
        <v/>
      </c>
    </row>
    <row r="177" spans="1:4" ht="15.75" x14ac:dyDescent="0.25">
      <c r="A177" s="35">
        <v>44006</v>
      </c>
      <c r="B177" s="60">
        <f t="shared" si="2"/>
        <v>8</v>
      </c>
      <c r="C177" s="36" t="str">
        <f>IFERROR(
  IF(
    VLOOKUP($A177,祝日!$A:$C,2,FALSE)="",
    "",
    VLOOKUP($A177,祝日!$A:$C,2,FALSE)
  ),
  ""
)</f>
        <v/>
      </c>
      <c r="D177" s="36" t="str">
        <f>IFERROR(
  IF(
    VLOOKUP($A177,祝日!$A:$C,3,FALSE)="",
    "",
    VLOOKUP($A177,祝日!$A:$C,3,FALSE)
  ),
  ""
)</f>
        <v/>
      </c>
    </row>
    <row r="178" spans="1:4" ht="15.75" x14ac:dyDescent="0.25">
      <c r="A178" s="35">
        <v>44007</v>
      </c>
      <c r="B178" s="60">
        <f t="shared" si="2"/>
        <v>8</v>
      </c>
      <c r="C178" s="36" t="str">
        <f>IFERROR(
  IF(
    VLOOKUP($A178,祝日!$A:$C,2,FALSE)="",
    "",
    VLOOKUP($A178,祝日!$A:$C,2,FALSE)
  ),
  ""
)</f>
        <v/>
      </c>
      <c r="D178" s="36" t="str">
        <f>IFERROR(
  IF(
    VLOOKUP($A178,祝日!$A:$C,3,FALSE)="",
    "",
    VLOOKUP($A178,祝日!$A:$C,3,FALSE)
  ),
  ""
)</f>
        <v/>
      </c>
    </row>
    <row r="179" spans="1:4" ht="15.75" x14ac:dyDescent="0.25">
      <c r="A179" s="35">
        <v>44008</v>
      </c>
      <c r="B179" s="60">
        <f t="shared" si="2"/>
        <v>8</v>
      </c>
      <c r="C179" s="36" t="str">
        <f>IFERROR(
  IF(
    VLOOKUP($A179,祝日!$A:$C,2,FALSE)="",
    "",
    VLOOKUP($A179,祝日!$A:$C,2,FALSE)
  ),
  ""
)</f>
        <v/>
      </c>
      <c r="D179" s="36" t="str">
        <f>IFERROR(
  IF(
    VLOOKUP($A179,祝日!$A:$C,3,FALSE)="",
    "",
    VLOOKUP($A179,祝日!$A:$C,3,FALSE)
  ),
  ""
)</f>
        <v/>
      </c>
    </row>
    <row r="180" spans="1:4" ht="15.75" x14ac:dyDescent="0.25">
      <c r="A180" s="35">
        <v>44009</v>
      </c>
      <c r="B180" s="60">
        <f t="shared" si="2"/>
        <v>0</v>
      </c>
      <c r="C180" s="36" t="str">
        <f>IFERROR(
  IF(
    VLOOKUP($A180,祝日!$A:$C,2,FALSE)="",
    "",
    VLOOKUP($A180,祝日!$A:$C,2,FALSE)
  ),
  ""
)</f>
        <v/>
      </c>
      <c r="D180" s="36" t="str">
        <f>IFERROR(
  IF(
    VLOOKUP($A180,祝日!$A:$C,3,FALSE)="",
    "",
    VLOOKUP($A180,祝日!$A:$C,3,FALSE)
  ),
  ""
)</f>
        <v/>
      </c>
    </row>
    <row r="181" spans="1:4" ht="15.75" x14ac:dyDescent="0.25">
      <c r="A181" s="35">
        <v>44010</v>
      </c>
      <c r="B181" s="60">
        <f t="shared" si="2"/>
        <v>0</v>
      </c>
      <c r="C181" s="36" t="str">
        <f>IFERROR(
  IF(
    VLOOKUP($A181,祝日!$A:$C,2,FALSE)="",
    "",
    VLOOKUP($A181,祝日!$A:$C,2,FALSE)
  ),
  ""
)</f>
        <v/>
      </c>
      <c r="D181" s="36" t="str">
        <f>IFERROR(
  IF(
    VLOOKUP($A181,祝日!$A:$C,3,FALSE)="",
    "",
    VLOOKUP($A181,祝日!$A:$C,3,FALSE)
  ),
  ""
)</f>
        <v/>
      </c>
    </row>
    <row r="182" spans="1:4" ht="15.75" x14ac:dyDescent="0.25">
      <c r="A182" s="35">
        <v>44011</v>
      </c>
      <c r="B182" s="60">
        <f t="shared" si="2"/>
        <v>8</v>
      </c>
      <c r="C182" s="36" t="str">
        <f>IFERROR(
  IF(
    VLOOKUP($A182,祝日!$A:$C,2,FALSE)="",
    "",
    VLOOKUP($A182,祝日!$A:$C,2,FALSE)
  ),
  ""
)</f>
        <v/>
      </c>
      <c r="D182" s="36" t="str">
        <f>IFERROR(
  IF(
    VLOOKUP($A182,祝日!$A:$C,3,FALSE)="",
    "",
    VLOOKUP($A182,祝日!$A:$C,3,FALSE)
  ),
  ""
)</f>
        <v/>
      </c>
    </row>
    <row r="183" spans="1:4" ht="15.75" x14ac:dyDescent="0.25">
      <c r="A183" s="35">
        <v>44012</v>
      </c>
      <c r="B183" s="60">
        <f t="shared" si="2"/>
        <v>8</v>
      </c>
      <c r="C183" s="36" t="str">
        <f>IFERROR(
  IF(
    VLOOKUP($A183,祝日!$A:$C,2,FALSE)="",
    "",
    VLOOKUP($A183,祝日!$A:$C,2,FALSE)
  ),
  ""
)</f>
        <v/>
      </c>
      <c r="D183" s="36" t="str">
        <f>IFERROR(
  IF(
    VLOOKUP($A183,祝日!$A:$C,3,FALSE)="",
    "",
    VLOOKUP($A183,祝日!$A:$C,3,FALSE)
  ),
  ""
)</f>
        <v/>
      </c>
    </row>
    <row r="184" spans="1:4" ht="15.75" x14ac:dyDescent="0.25">
      <c r="A184" s="35">
        <v>44013</v>
      </c>
      <c r="B184" s="60">
        <f t="shared" si="2"/>
        <v>8</v>
      </c>
      <c r="C184" s="36" t="str">
        <f>IFERROR(
  IF(
    VLOOKUP($A184,祝日!$A:$C,2,FALSE)="",
    "",
    VLOOKUP($A184,祝日!$A:$C,2,FALSE)
  ),
  ""
)</f>
        <v/>
      </c>
      <c r="D184" s="36" t="str">
        <f>IFERROR(
  IF(
    VLOOKUP($A184,祝日!$A:$C,3,FALSE)="",
    "",
    VLOOKUP($A184,祝日!$A:$C,3,FALSE)
  ),
  ""
)</f>
        <v/>
      </c>
    </row>
    <row r="185" spans="1:4" ht="15.75" x14ac:dyDescent="0.25">
      <c r="A185" s="35">
        <v>44014</v>
      </c>
      <c r="B185" s="60">
        <f t="shared" si="2"/>
        <v>8</v>
      </c>
      <c r="C185" s="36" t="str">
        <f>IFERROR(
  IF(
    VLOOKUP($A185,祝日!$A:$C,2,FALSE)="",
    "",
    VLOOKUP($A185,祝日!$A:$C,2,FALSE)
  ),
  ""
)</f>
        <v/>
      </c>
      <c r="D185" s="36" t="str">
        <f>IFERROR(
  IF(
    VLOOKUP($A185,祝日!$A:$C,3,FALSE)="",
    "",
    VLOOKUP($A185,祝日!$A:$C,3,FALSE)
  ),
  ""
)</f>
        <v/>
      </c>
    </row>
    <row r="186" spans="1:4" ht="15.75" x14ac:dyDescent="0.25">
      <c r="A186" s="35">
        <v>44015</v>
      </c>
      <c r="B186" s="60">
        <f t="shared" si="2"/>
        <v>8</v>
      </c>
      <c r="C186" s="36" t="str">
        <f>IFERROR(
  IF(
    VLOOKUP($A186,祝日!$A:$C,2,FALSE)="",
    "",
    VLOOKUP($A186,祝日!$A:$C,2,FALSE)
  ),
  ""
)</f>
        <v/>
      </c>
      <c r="D186" s="36" t="str">
        <f>IFERROR(
  IF(
    VLOOKUP($A186,祝日!$A:$C,3,FALSE)="",
    "",
    VLOOKUP($A186,祝日!$A:$C,3,FALSE)
  ),
  ""
)</f>
        <v/>
      </c>
    </row>
    <row r="187" spans="1:4" ht="15.75" x14ac:dyDescent="0.25">
      <c r="A187" s="35">
        <v>44016</v>
      </c>
      <c r="B187" s="60">
        <f t="shared" si="2"/>
        <v>0</v>
      </c>
      <c r="C187" s="36" t="str">
        <f>IFERROR(
  IF(
    VLOOKUP($A187,祝日!$A:$C,2,FALSE)="",
    "",
    VLOOKUP($A187,祝日!$A:$C,2,FALSE)
  ),
  ""
)</f>
        <v/>
      </c>
      <c r="D187" s="36" t="str">
        <f>IFERROR(
  IF(
    VLOOKUP($A187,祝日!$A:$C,3,FALSE)="",
    "",
    VLOOKUP($A187,祝日!$A:$C,3,FALSE)
  ),
  ""
)</f>
        <v/>
      </c>
    </row>
    <row r="188" spans="1:4" ht="15.75" x14ac:dyDescent="0.25">
      <c r="A188" s="35">
        <v>44017</v>
      </c>
      <c r="B188" s="60">
        <f t="shared" si="2"/>
        <v>0</v>
      </c>
      <c r="C188" s="36" t="str">
        <f>IFERROR(
  IF(
    VLOOKUP($A188,祝日!$A:$C,2,FALSE)="",
    "",
    VLOOKUP($A188,祝日!$A:$C,2,FALSE)
  ),
  ""
)</f>
        <v/>
      </c>
      <c r="D188" s="36" t="str">
        <f>IFERROR(
  IF(
    VLOOKUP($A188,祝日!$A:$C,3,FALSE)="",
    "",
    VLOOKUP($A188,祝日!$A:$C,3,FALSE)
  ),
  ""
)</f>
        <v/>
      </c>
    </row>
    <row r="189" spans="1:4" ht="15.75" x14ac:dyDescent="0.25">
      <c r="A189" s="35">
        <v>44018</v>
      </c>
      <c r="B189" s="60">
        <f t="shared" si="2"/>
        <v>8</v>
      </c>
      <c r="C189" s="36" t="str">
        <f>IFERROR(
  IF(
    VLOOKUP($A189,祝日!$A:$C,2,FALSE)="",
    "",
    VLOOKUP($A189,祝日!$A:$C,2,FALSE)
  ),
  ""
)</f>
        <v/>
      </c>
      <c r="D189" s="36" t="str">
        <f>IFERROR(
  IF(
    VLOOKUP($A189,祝日!$A:$C,3,FALSE)="",
    "",
    VLOOKUP($A189,祝日!$A:$C,3,FALSE)
  ),
  ""
)</f>
        <v/>
      </c>
    </row>
    <row r="190" spans="1:4" ht="15.75" x14ac:dyDescent="0.25">
      <c r="A190" s="35">
        <v>44019</v>
      </c>
      <c r="B190" s="60">
        <f t="shared" si="2"/>
        <v>8</v>
      </c>
      <c r="C190" s="36" t="str">
        <f>IFERROR(
  IF(
    VLOOKUP($A190,祝日!$A:$C,2,FALSE)="",
    "",
    VLOOKUP($A190,祝日!$A:$C,2,FALSE)
  ),
  ""
)</f>
        <v/>
      </c>
      <c r="D190" s="36" t="str">
        <f>IFERROR(
  IF(
    VLOOKUP($A190,祝日!$A:$C,3,FALSE)="",
    "",
    VLOOKUP($A190,祝日!$A:$C,3,FALSE)
  ),
  ""
)</f>
        <v/>
      </c>
    </row>
    <row r="191" spans="1:4" ht="15.75" x14ac:dyDescent="0.25">
      <c r="A191" s="35">
        <v>44020</v>
      </c>
      <c r="B191" s="60">
        <f t="shared" si="2"/>
        <v>8</v>
      </c>
      <c r="C191" s="36" t="str">
        <f>IFERROR(
  IF(
    VLOOKUP($A191,祝日!$A:$C,2,FALSE)="",
    "",
    VLOOKUP($A191,祝日!$A:$C,2,FALSE)
  ),
  ""
)</f>
        <v/>
      </c>
      <c r="D191" s="36" t="str">
        <f>IFERROR(
  IF(
    VLOOKUP($A191,祝日!$A:$C,3,FALSE)="",
    "",
    VLOOKUP($A191,祝日!$A:$C,3,FALSE)
  ),
  ""
)</f>
        <v/>
      </c>
    </row>
    <row r="192" spans="1:4" ht="15.75" x14ac:dyDescent="0.25">
      <c r="A192" s="35">
        <v>44021</v>
      </c>
      <c r="B192" s="60">
        <f t="shared" si="2"/>
        <v>8</v>
      </c>
      <c r="C192" s="36" t="str">
        <f>IFERROR(
  IF(
    VLOOKUP($A192,祝日!$A:$C,2,FALSE)="",
    "",
    VLOOKUP($A192,祝日!$A:$C,2,FALSE)
  ),
  ""
)</f>
        <v/>
      </c>
      <c r="D192" s="36" t="str">
        <f>IFERROR(
  IF(
    VLOOKUP($A192,祝日!$A:$C,3,FALSE)="",
    "",
    VLOOKUP($A192,祝日!$A:$C,3,FALSE)
  ),
  ""
)</f>
        <v/>
      </c>
    </row>
    <row r="193" spans="1:4" ht="15.75" x14ac:dyDescent="0.25">
      <c r="A193" s="35">
        <v>44022</v>
      </c>
      <c r="B193" s="60">
        <f t="shared" si="2"/>
        <v>8</v>
      </c>
      <c r="C193" s="36" t="str">
        <f>IFERROR(
  IF(
    VLOOKUP($A193,祝日!$A:$C,2,FALSE)="",
    "",
    VLOOKUP($A193,祝日!$A:$C,2,FALSE)
  ),
  ""
)</f>
        <v/>
      </c>
      <c r="D193" s="36" t="str">
        <f>IFERROR(
  IF(
    VLOOKUP($A193,祝日!$A:$C,3,FALSE)="",
    "",
    VLOOKUP($A193,祝日!$A:$C,3,FALSE)
  ),
  ""
)</f>
        <v/>
      </c>
    </row>
    <row r="194" spans="1:4" ht="15.75" x14ac:dyDescent="0.25">
      <c r="A194" s="35">
        <v>44023</v>
      </c>
      <c r="B194" s="60">
        <f t="shared" si="2"/>
        <v>0</v>
      </c>
      <c r="C194" s="36" t="str">
        <f>IFERROR(
  IF(
    VLOOKUP($A194,祝日!$A:$C,2,FALSE)="",
    "",
    VLOOKUP($A194,祝日!$A:$C,2,FALSE)
  ),
  ""
)</f>
        <v/>
      </c>
      <c r="D194" s="36" t="str">
        <f>IFERROR(
  IF(
    VLOOKUP($A194,祝日!$A:$C,3,FALSE)="",
    "",
    VLOOKUP($A194,祝日!$A:$C,3,FALSE)
  ),
  ""
)</f>
        <v/>
      </c>
    </row>
    <row r="195" spans="1:4" ht="15.75" x14ac:dyDescent="0.25">
      <c r="A195" s="35">
        <v>44024</v>
      </c>
      <c r="B195" s="60">
        <f t="shared" ref="B195:B258" si="3">IF(OR(5&lt;WEEKDAY(A195,2)),0,8)</f>
        <v>0</v>
      </c>
      <c r="C195" s="36" t="str">
        <f>IFERROR(
  IF(
    VLOOKUP($A195,祝日!$A:$C,2,FALSE)="",
    "",
    VLOOKUP($A195,祝日!$A:$C,2,FALSE)
  ),
  ""
)</f>
        <v/>
      </c>
      <c r="D195" s="36" t="str">
        <f>IFERROR(
  IF(
    VLOOKUP($A195,祝日!$A:$C,3,FALSE)="",
    "",
    VLOOKUP($A195,祝日!$A:$C,3,FALSE)
  ),
  ""
)</f>
        <v/>
      </c>
    </row>
    <row r="196" spans="1:4" ht="15.75" x14ac:dyDescent="0.25">
      <c r="A196" s="35">
        <v>44025</v>
      </c>
      <c r="B196" s="60">
        <f t="shared" si="3"/>
        <v>8</v>
      </c>
      <c r="C196" s="36" t="str">
        <f>IFERROR(
  IF(
    VLOOKUP($A196,祝日!$A:$C,2,FALSE)="",
    "",
    VLOOKUP($A196,祝日!$A:$C,2,FALSE)
  ),
  ""
)</f>
        <v/>
      </c>
      <c r="D196" s="36" t="str">
        <f>IFERROR(
  IF(
    VLOOKUP($A196,祝日!$A:$C,3,FALSE)="",
    "",
    VLOOKUP($A196,祝日!$A:$C,3,FALSE)
  ),
  ""
)</f>
        <v/>
      </c>
    </row>
    <row r="197" spans="1:4" ht="15.75" x14ac:dyDescent="0.25">
      <c r="A197" s="35">
        <v>44026</v>
      </c>
      <c r="B197" s="60">
        <f t="shared" si="3"/>
        <v>8</v>
      </c>
      <c r="C197" s="36" t="str">
        <f>IFERROR(
  IF(
    VLOOKUP($A197,祝日!$A:$C,2,FALSE)="",
    "",
    VLOOKUP($A197,祝日!$A:$C,2,FALSE)
  ),
  ""
)</f>
        <v/>
      </c>
      <c r="D197" s="36" t="str">
        <f>IFERROR(
  IF(
    VLOOKUP($A197,祝日!$A:$C,3,FALSE)="",
    "",
    VLOOKUP($A197,祝日!$A:$C,3,FALSE)
  ),
  ""
)</f>
        <v/>
      </c>
    </row>
    <row r="198" spans="1:4" ht="15.75" x14ac:dyDescent="0.25">
      <c r="A198" s="35">
        <v>44027</v>
      </c>
      <c r="B198" s="60">
        <f t="shared" si="3"/>
        <v>8</v>
      </c>
      <c r="C198" s="36" t="str">
        <f>IFERROR(
  IF(
    VLOOKUP($A198,祝日!$A:$C,2,FALSE)="",
    "",
    VLOOKUP($A198,祝日!$A:$C,2,FALSE)
  ),
  ""
)</f>
        <v/>
      </c>
      <c r="D198" s="36" t="str">
        <f>IFERROR(
  IF(
    VLOOKUP($A198,祝日!$A:$C,3,FALSE)="",
    "",
    VLOOKUP($A198,祝日!$A:$C,3,FALSE)
  ),
  ""
)</f>
        <v/>
      </c>
    </row>
    <row r="199" spans="1:4" ht="15.75" x14ac:dyDescent="0.25">
      <c r="A199" s="35">
        <v>44028</v>
      </c>
      <c r="B199" s="60">
        <f t="shared" si="3"/>
        <v>8</v>
      </c>
      <c r="C199" s="36" t="str">
        <f>IFERROR(
  IF(
    VLOOKUP($A199,祝日!$A:$C,2,FALSE)="",
    "",
    VLOOKUP($A199,祝日!$A:$C,2,FALSE)
  ),
  ""
)</f>
        <v/>
      </c>
      <c r="D199" s="36" t="str">
        <f>IFERROR(
  IF(
    VLOOKUP($A199,祝日!$A:$C,3,FALSE)="",
    "",
    VLOOKUP($A199,祝日!$A:$C,3,FALSE)
  ),
  ""
)</f>
        <v/>
      </c>
    </row>
    <row r="200" spans="1:4" ht="15.75" x14ac:dyDescent="0.25">
      <c r="A200" s="35">
        <v>44029</v>
      </c>
      <c r="B200" s="60">
        <f t="shared" si="3"/>
        <v>8</v>
      </c>
      <c r="C200" s="36" t="str">
        <f>IFERROR(
  IF(
    VLOOKUP($A200,祝日!$A:$C,2,FALSE)="",
    "",
    VLOOKUP($A200,祝日!$A:$C,2,FALSE)
  ),
  ""
)</f>
        <v/>
      </c>
      <c r="D200" s="36" t="str">
        <f>IFERROR(
  IF(
    VLOOKUP($A200,祝日!$A:$C,3,FALSE)="",
    "",
    VLOOKUP($A200,祝日!$A:$C,3,FALSE)
  ),
  ""
)</f>
        <v/>
      </c>
    </row>
    <row r="201" spans="1:4" ht="15.75" x14ac:dyDescent="0.25">
      <c r="A201" s="35">
        <v>44030</v>
      </c>
      <c r="B201" s="60">
        <f t="shared" si="3"/>
        <v>0</v>
      </c>
      <c r="C201" s="36" t="str">
        <f>IFERROR(
  IF(
    VLOOKUP($A201,祝日!$A:$C,2,FALSE)="",
    "",
    VLOOKUP($A201,祝日!$A:$C,2,FALSE)
  ),
  ""
)</f>
        <v/>
      </c>
      <c r="D201" s="36" t="str">
        <f>IFERROR(
  IF(
    VLOOKUP($A201,祝日!$A:$C,3,FALSE)="",
    "",
    VLOOKUP($A201,祝日!$A:$C,3,FALSE)
  ),
  ""
)</f>
        <v/>
      </c>
    </row>
    <row r="202" spans="1:4" ht="15.75" x14ac:dyDescent="0.25">
      <c r="A202" s="35">
        <v>44031</v>
      </c>
      <c r="B202" s="60">
        <f t="shared" si="3"/>
        <v>0</v>
      </c>
      <c r="C202" s="36" t="str">
        <f>IFERROR(
  IF(
    VLOOKUP($A202,祝日!$A:$C,2,FALSE)="",
    "",
    VLOOKUP($A202,祝日!$A:$C,2,FALSE)
  ),
  ""
)</f>
        <v/>
      </c>
      <c r="D202" s="36" t="str">
        <f>IFERROR(
  IF(
    VLOOKUP($A202,祝日!$A:$C,3,FALSE)="",
    "",
    VLOOKUP($A202,祝日!$A:$C,3,FALSE)
  ),
  ""
)</f>
        <v/>
      </c>
    </row>
    <row r="203" spans="1:4" ht="15.75" x14ac:dyDescent="0.25">
      <c r="A203" s="35">
        <v>44032</v>
      </c>
      <c r="B203" s="60">
        <f t="shared" si="3"/>
        <v>8</v>
      </c>
      <c r="C203" s="36" t="str">
        <f>IFERROR(
  IF(
    VLOOKUP($A203,祝日!$A:$C,2,FALSE)="",
    "",
    VLOOKUP($A203,祝日!$A:$C,2,FALSE)
  ),
  ""
)</f>
        <v/>
      </c>
      <c r="D203" s="36" t="str">
        <f>IFERROR(
  IF(
    VLOOKUP($A203,祝日!$A:$C,3,FALSE)="",
    "",
    VLOOKUP($A203,祝日!$A:$C,3,FALSE)
  ),
  ""
)</f>
        <v/>
      </c>
    </row>
    <row r="204" spans="1:4" ht="15.75" x14ac:dyDescent="0.25">
      <c r="A204" s="35">
        <v>44033</v>
      </c>
      <c r="B204" s="60">
        <f t="shared" si="3"/>
        <v>8</v>
      </c>
      <c r="C204" s="36" t="str">
        <f>IFERROR(
  IF(
    VLOOKUP($A204,祝日!$A:$C,2,FALSE)="",
    "",
    VLOOKUP($A204,祝日!$A:$C,2,FALSE)
  ),
  ""
)</f>
        <v/>
      </c>
      <c r="D204" s="36" t="str">
        <f>IFERROR(
  IF(
    VLOOKUP($A204,祝日!$A:$C,3,FALSE)="",
    "",
    VLOOKUP($A204,祝日!$A:$C,3,FALSE)
  ),
  ""
)</f>
        <v/>
      </c>
    </row>
    <row r="205" spans="1:4" ht="15.75" x14ac:dyDescent="0.25">
      <c r="A205" s="35">
        <v>44034</v>
      </c>
      <c r="B205" s="60">
        <f t="shared" si="3"/>
        <v>8</v>
      </c>
      <c r="C205" s="36" t="str">
        <f>IFERROR(
  IF(
    VLOOKUP($A205,祝日!$A:$C,2,FALSE)="",
    "",
    VLOOKUP($A205,祝日!$A:$C,2,FALSE)
  ),
  ""
)</f>
        <v/>
      </c>
      <c r="D205" s="36" t="str">
        <f>IFERROR(
  IF(
    VLOOKUP($A205,祝日!$A:$C,3,FALSE)="",
    "",
    VLOOKUP($A205,祝日!$A:$C,3,FALSE)
  ),
  ""
)</f>
        <v/>
      </c>
    </row>
    <row r="206" spans="1:4" ht="15.75" x14ac:dyDescent="0.25">
      <c r="A206" s="35">
        <v>44035</v>
      </c>
      <c r="B206" s="60">
        <f t="shared" si="3"/>
        <v>8</v>
      </c>
      <c r="C206" s="36" t="str">
        <f>IFERROR(
  IF(
    VLOOKUP($A206,祝日!$A:$C,2,FALSE)="",
    "",
    VLOOKUP($A206,祝日!$A:$C,2,FALSE)
  ),
  ""
)</f>
        <v xml:space="preserve">海の日 </v>
      </c>
      <c r="D206" s="36" t="str">
        <f>IFERROR(
  IF(
    VLOOKUP($A206,祝日!$A:$C,3,FALSE)="",
    "",
    VLOOKUP($A206,祝日!$A:$C,3,FALSE)
  ),
  ""
)</f>
        <v>2020年に限り移動</v>
      </c>
    </row>
    <row r="207" spans="1:4" ht="15.75" x14ac:dyDescent="0.25">
      <c r="A207" s="35">
        <v>44036</v>
      </c>
      <c r="B207" s="60">
        <f t="shared" si="3"/>
        <v>8</v>
      </c>
      <c r="C207" s="36" t="str">
        <f>IFERROR(
  IF(
    VLOOKUP($A207,祝日!$A:$C,2,FALSE)="",
    "",
    VLOOKUP($A207,祝日!$A:$C,2,FALSE)
  ),
  ""
)</f>
        <v xml:space="preserve">スポーツの日 </v>
      </c>
      <c r="D207" s="36" t="str">
        <f>IFERROR(
  IF(
    VLOOKUP($A207,祝日!$A:$C,3,FALSE)="",
    "",
    VLOOKUP($A207,祝日!$A:$C,3,FALSE)
  ),
  ""
)</f>
        <v>2020年に限り移動</v>
      </c>
    </row>
    <row r="208" spans="1:4" ht="15.75" x14ac:dyDescent="0.25">
      <c r="A208" s="35">
        <v>44037</v>
      </c>
      <c r="B208" s="60">
        <f t="shared" si="3"/>
        <v>0</v>
      </c>
      <c r="C208" s="36" t="str">
        <f>IFERROR(
  IF(
    VLOOKUP($A208,祝日!$A:$C,2,FALSE)="",
    "",
    VLOOKUP($A208,祝日!$A:$C,2,FALSE)
  ),
  ""
)</f>
        <v/>
      </c>
      <c r="D208" s="36" t="str">
        <f>IFERROR(
  IF(
    VLOOKUP($A208,祝日!$A:$C,3,FALSE)="",
    "",
    VLOOKUP($A208,祝日!$A:$C,3,FALSE)
  ),
  ""
)</f>
        <v/>
      </c>
    </row>
    <row r="209" spans="1:4" ht="15.75" x14ac:dyDescent="0.25">
      <c r="A209" s="35">
        <v>44038</v>
      </c>
      <c r="B209" s="60">
        <f t="shared" si="3"/>
        <v>0</v>
      </c>
      <c r="C209" s="36" t="str">
        <f>IFERROR(
  IF(
    VLOOKUP($A209,祝日!$A:$C,2,FALSE)="",
    "",
    VLOOKUP($A209,祝日!$A:$C,2,FALSE)
  ),
  ""
)</f>
        <v/>
      </c>
      <c r="D209" s="36" t="str">
        <f>IFERROR(
  IF(
    VLOOKUP($A209,祝日!$A:$C,3,FALSE)="",
    "",
    VLOOKUP($A209,祝日!$A:$C,3,FALSE)
  ),
  ""
)</f>
        <v/>
      </c>
    </row>
    <row r="210" spans="1:4" ht="15.75" x14ac:dyDescent="0.25">
      <c r="A210" s="35">
        <v>44039</v>
      </c>
      <c r="B210" s="60">
        <f t="shared" si="3"/>
        <v>8</v>
      </c>
      <c r="C210" s="36" t="str">
        <f>IFERROR(
  IF(
    VLOOKUP($A210,祝日!$A:$C,2,FALSE)="",
    "",
    VLOOKUP($A210,祝日!$A:$C,2,FALSE)
  ),
  ""
)</f>
        <v/>
      </c>
      <c r="D210" s="36" t="str">
        <f>IFERROR(
  IF(
    VLOOKUP($A210,祝日!$A:$C,3,FALSE)="",
    "",
    VLOOKUP($A210,祝日!$A:$C,3,FALSE)
  ),
  ""
)</f>
        <v/>
      </c>
    </row>
    <row r="211" spans="1:4" ht="15.75" x14ac:dyDescent="0.25">
      <c r="A211" s="35">
        <v>44040</v>
      </c>
      <c r="B211" s="60">
        <f t="shared" si="3"/>
        <v>8</v>
      </c>
      <c r="C211" s="36" t="str">
        <f>IFERROR(
  IF(
    VLOOKUP($A211,祝日!$A:$C,2,FALSE)="",
    "",
    VLOOKUP($A211,祝日!$A:$C,2,FALSE)
  ),
  ""
)</f>
        <v/>
      </c>
      <c r="D211" s="36" t="str">
        <f>IFERROR(
  IF(
    VLOOKUP($A211,祝日!$A:$C,3,FALSE)="",
    "",
    VLOOKUP($A211,祝日!$A:$C,3,FALSE)
  ),
  ""
)</f>
        <v/>
      </c>
    </row>
    <row r="212" spans="1:4" ht="15.75" x14ac:dyDescent="0.25">
      <c r="A212" s="35">
        <v>44041</v>
      </c>
      <c r="B212" s="60">
        <f t="shared" si="3"/>
        <v>8</v>
      </c>
      <c r="C212" s="36" t="str">
        <f>IFERROR(
  IF(
    VLOOKUP($A212,祝日!$A:$C,2,FALSE)="",
    "",
    VLOOKUP($A212,祝日!$A:$C,2,FALSE)
  ),
  ""
)</f>
        <v/>
      </c>
      <c r="D212" s="36" t="str">
        <f>IFERROR(
  IF(
    VLOOKUP($A212,祝日!$A:$C,3,FALSE)="",
    "",
    VLOOKUP($A212,祝日!$A:$C,3,FALSE)
  ),
  ""
)</f>
        <v/>
      </c>
    </row>
    <row r="213" spans="1:4" ht="15.75" x14ac:dyDescent="0.25">
      <c r="A213" s="35">
        <v>44042</v>
      </c>
      <c r="B213" s="60">
        <f t="shared" si="3"/>
        <v>8</v>
      </c>
      <c r="C213" s="36" t="str">
        <f>IFERROR(
  IF(
    VLOOKUP($A213,祝日!$A:$C,2,FALSE)="",
    "",
    VLOOKUP($A213,祝日!$A:$C,2,FALSE)
  ),
  ""
)</f>
        <v/>
      </c>
      <c r="D213" s="36" t="str">
        <f>IFERROR(
  IF(
    VLOOKUP($A213,祝日!$A:$C,3,FALSE)="",
    "",
    VLOOKUP($A213,祝日!$A:$C,3,FALSE)
  ),
  ""
)</f>
        <v/>
      </c>
    </row>
    <row r="214" spans="1:4" ht="15.75" x14ac:dyDescent="0.25">
      <c r="A214" s="35">
        <v>44043</v>
      </c>
      <c r="B214" s="60">
        <f t="shared" si="3"/>
        <v>8</v>
      </c>
      <c r="C214" s="36" t="str">
        <f>IFERROR(
  IF(
    VLOOKUP($A214,祝日!$A:$C,2,FALSE)="",
    "",
    VLOOKUP($A214,祝日!$A:$C,2,FALSE)
  ),
  ""
)</f>
        <v/>
      </c>
      <c r="D214" s="36" t="str">
        <f>IFERROR(
  IF(
    VLOOKUP($A214,祝日!$A:$C,3,FALSE)="",
    "",
    VLOOKUP($A214,祝日!$A:$C,3,FALSE)
  ),
  ""
)</f>
        <v/>
      </c>
    </row>
    <row r="215" spans="1:4" ht="15.75" x14ac:dyDescent="0.25">
      <c r="A215" s="35">
        <v>44044</v>
      </c>
      <c r="B215" s="60">
        <f t="shared" si="3"/>
        <v>0</v>
      </c>
      <c r="C215" s="36" t="str">
        <f>IFERROR(
  IF(
    VLOOKUP($A215,祝日!$A:$C,2,FALSE)="",
    "",
    VLOOKUP($A215,祝日!$A:$C,2,FALSE)
  ),
  ""
)</f>
        <v/>
      </c>
      <c r="D215" s="36" t="str">
        <f>IFERROR(
  IF(
    VLOOKUP($A215,祝日!$A:$C,3,FALSE)="",
    "",
    VLOOKUP($A215,祝日!$A:$C,3,FALSE)
  ),
  ""
)</f>
        <v/>
      </c>
    </row>
    <row r="216" spans="1:4" ht="15.75" x14ac:dyDescent="0.25">
      <c r="A216" s="35">
        <v>44045</v>
      </c>
      <c r="B216" s="60">
        <f t="shared" si="3"/>
        <v>0</v>
      </c>
      <c r="C216" s="36" t="str">
        <f>IFERROR(
  IF(
    VLOOKUP($A216,祝日!$A:$C,2,FALSE)="",
    "",
    VLOOKUP($A216,祝日!$A:$C,2,FALSE)
  ),
  ""
)</f>
        <v/>
      </c>
      <c r="D216" s="36" t="str">
        <f>IFERROR(
  IF(
    VLOOKUP($A216,祝日!$A:$C,3,FALSE)="",
    "",
    VLOOKUP($A216,祝日!$A:$C,3,FALSE)
  ),
  ""
)</f>
        <v/>
      </c>
    </row>
    <row r="217" spans="1:4" ht="15.75" x14ac:dyDescent="0.25">
      <c r="A217" s="35">
        <v>44046</v>
      </c>
      <c r="B217" s="60">
        <f t="shared" si="3"/>
        <v>8</v>
      </c>
      <c r="C217" s="36" t="str">
        <f>IFERROR(
  IF(
    VLOOKUP($A217,祝日!$A:$C,2,FALSE)="",
    "",
    VLOOKUP($A217,祝日!$A:$C,2,FALSE)
  ),
  ""
)</f>
        <v/>
      </c>
      <c r="D217" s="36" t="str">
        <f>IFERROR(
  IF(
    VLOOKUP($A217,祝日!$A:$C,3,FALSE)="",
    "",
    VLOOKUP($A217,祝日!$A:$C,3,FALSE)
  ),
  ""
)</f>
        <v/>
      </c>
    </row>
    <row r="218" spans="1:4" ht="15.75" x14ac:dyDescent="0.25">
      <c r="A218" s="35">
        <v>44047</v>
      </c>
      <c r="B218" s="60">
        <f t="shared" si="3"/>
        <v>8</v>
      </c>
      <c r="C218" s="36" t="str">
        <f>IFERROR(
  IF(
    VLOOKUP($A218,祝日!$A:$C,2,FALSE)="",
    "",
    VLOOKUP($A218,祝日!$A:$C,2,FALSE)
  ),
  ""
)</f>
        <v/>
      </c>
      <c r="D218" s="36" t="str">
        <f>IFERROR(
  IF(
    VLOOKUP($A218,祝日!$A:$C,3,FALSE)="",
    "",
    VLOOKUP($A218,祝日!$A:$C,3,FALSE)
  ),
  ""
)</f>
        <v/>
      </c>
    </row>
    <row r="219" spans="1:4" ht="15.75" x14ac:dyDescent="0.25">
      <c r="A219" s="35">
        <v>44048</v>
      </c>
      <c r="B219" s="60">
        <f t="shared" si="3"/>
        <v>8</v>
      </c>
      <c r="C219" s="36" t="str">
        <f>IFERROR(
  IF(
    VLOOKUP($A219,祝日!$A:$C,2,FALSE)="",
    "",
    VLOOKUP($A219,祝日!$A:$C,2,FALSE)
  ),
  ""
)</f>
        <v/>
      </c>
      <c r="D219" s="36" t="str">
        <f>IFERROR(
  IF(
    VLOOKUP($A219,祝日!$A:$C,3,FALSE)="",
    "",
    VLOOKUP($A219,祝日!$A:$C,3,FALSE)
  ),
  ""
)</f>
        <v/>
      </c>
    </row>
    <row r="220" spans="1:4" ht="15.75" x14ac:dyDescent="0.25">
      <c r="A220" s="35">
        <v>44049</v>
      </c>
      <c r="B220" s="60">
        <f t="shared" si="3"/>
        <v>8</v>
      </c>
      <c r="C220" s="36" t="str">
        <f>IFERROR(
  IF(
    VLOOKUP($A220,祝日!$A:$C,2,FALSE)="",
    "",
    VLOOKUP($A220,祝日!$A:$C,2,FALSE)
  ),
  ""
)</f>
        <v/>
      </c>
      <c r="D220" s="36" t="str">
        <f>IFERROR(
  IF(
    VLOOKUP($A220,祝日!$A:$C,3,FALSE)="",
    "",
    VLOOKUP($A220,祝日!$A:$C,3,FALSE)
  ),
  ""
)</f>
        <v/>
      </c>
    </row>
    <row r="221" spans="1:4" ht="15.75" x14ac:dyDescent="0.25">
      <c r="A221" s="35">
        <v>44050</v>
      </c>
      <c r="B221" s="60">
        <f t="shared" si="3"/>
        <v>8</v>
      </c>
      <c r="C221" s="36" t="str">
        <f>IFERROR(
  IF(
    VLOOKUP($A221,祝日!$A:$C,2,FALSE)="",
    "",
    VLOOKUP($A221,祝日!$A:$C,2,FALSE)
  ),
  ""
)</f>
        <v/>
      </c>
      <c r="D221" s="36" t="str">
        <f>IFERROR(
  IF(
    VLOOKUP($A221,祝日!$A:$C,3,FALSE)="",
    "",
    VLOOKUP($A221,祝日!$A:$C,3,FALSE)
  ),
  ""
)</f>
        <v/>
      </c>
    </row>
    <row r="222" spans="1:4" ht="15.75" x14ac:dyDescent="0.25">
      <c r="A222" s="35">
        <v>44051</v>
      </c>
      <c r="B222" s="60">
        <f t="shared" si="3"/>
        <v>0</v>
      </c>
      <c r="C222" s="36" t="str">
        <f>IFERROR(
  IF(
    VLOOKUP($A222,祝日!$A:$C,2,FALSE)="",
    "",
    VLOOKUP($A222,祝日!$A:$C,2,FALSE)
  ),
  ""
)</f>
        <v/>
      </c>
      <c r="D222" s="36" t="str">
        <f>IFERROR(
  IF(
    VLOOKUP($A222,祝日!$A:$C,3,FALSE)="",
    "",
    VLOOKUP($A222,祝日!$A:$C,3,FALSE)
  ),
  ""
)</f>
        <v/>
      </c>
    </row>
    <row r="223" spans="1:4" ht="15.75" x14ac:dyDescent="0.25">
      <c r="A223" s="35">
        <v>44052</v>
      </c>
      <c r="B223" s="60">
        <f t="shared" si="3"/>
        <v>0</v>
      </c>
      <c r="C223" s="36" t="str">
        <f>IFERROR(
  IF(
    VLOOKUP($A223,祝日!$A:$C,2,FALSE)="",
    "",
    VLOOKUP($A223,祝日!$A:$C,2,FALSE)
  ),
  ""
)</f>
        <v/>
      </c>
      <c r="D223" s="36" t="str">
        <f>IFERROR(
  IF(
    VLOOKUP($A223,祝日!$A:$C,3,FALSE)="",
    "",
    VLOOKUP($A223,祝日!$A:$C,3,FALSE)
  ),
  ""
)</f>
        <v/>
      </c>
    </row>
    <row r="224" spans="1:4" ht="15.75" x14ac:dyDescent="0.25">
      <c r="A224" s="35">
        <v>44053</v>
      </c>
      <c r="B224" s="60">
        <f t="shared" si="3"/>
        <v>8</v>
      </c>
      <c r="C224" s="36" t="str">
        <f>IFERROR(
  IF(
    VLOOKUP($A224,祝日!$A:$C,2,FALSE)="",
    "",
    VLOOKUP($A224,祝日!$A:$C,2,FALSE)
  ),
  ""
)</f>
        <v xml:space="preserve">山の日 </v>
      </c>
      <c r="D224" s="36" t="str">
        <f>IFERROR(
  IF(
    VLOOKUP($A224,祝日!$A:$C,3,FALSE)="",
    "",
    VLOOKUP($A224,祝日!$A:$C,3,FALSE)
  ),
  ""
)</f>
        <v>2020年に限り移動</v>
      </c>
    </row>
    <row r="225" spans="1:4" ht="15.75" x14ac:dyDescent="0.25">
      <c r="A225" s="35">
        <v>44054</v>
      </c>
      <c r="B225" s="60">
        <f t="shared" si="3"/>
        <v>8</v>
      </c>
      <c r="C225" s="36" t="str">
        <f>IFERROR(
  IF(
    VLOOKUP($A225,祝日!$A:$C,2,FALSE)="",
    "",
    VLOOKUP($A225,祝日!$A:$C,2,FALSE)
  ),
  ""
)</f>
        <v/>
      </c>
      <c r="D225" s="36" t="str">
        <f>IFERROR(
  IF(
    VLOOKUP($A225,祝日!$A:$C,3,FALSE)="",
    "",
    VLOOKUP($A225,祝日!$A:$C,3,FALSE)
  ),
  ""
)</f>
        <v/>
      </c>
    </row>
    <row r="226" spans="1:4" ht="15.75" x14ac:dyDescent="0.25">
      <c r="A226" s="35">
        <v>44055</v>
      </c>
      <c r="B226" s="60">
        <f t="shared" si="3"/>
        <v>8</v>
      </c>
      <c r="C226" s="36" t="str">
        <f>IFERROR(
  IF(
    VLOOKUP($A226,祝日!$A:$C,2,FALSE)="",
    "",
    VLOOKUP($A226,祝日!$A:$C,2,FALSE)
  ),
  ""
)</f>
        <v/>
      </c>
      <c r="D226" s="36" t="str">
        <f>IFERROR(
  IF(
    VLOOKUP($A226,祝日!$A:$C,3,FALSE)="",
    "",
    VLOOKUP($A226,祝日!$A:$C,3,FALSE)
  ),
  ""
)</f>
        <v/>
      </c>
    </row>
    <row r="227" spans="1:4" ht="15.75" x14ac:dyDescent="0.25">
      <c r="A227" s="35">
        <v>44056</v>
      </c>
      <c r="B227" s="60">
        <f t="shared" si="3"/>
        <v>8</v>
      </c>
      <c r="C227" s="36" t="str">
        <f>IFERROR(
  IF(
    VLOOKUP($A227,祝日!$A:$C,2,FALSE)="",
    "",
    VLOOKUP($A227,祝日!$A:$C,2,FALSE)
  ),
  ""
)</f>
        <v/>
      </c>
      <c r="D227" s="36" t="str">
        <f>IFERROR(
  IF(
    VLOOKUP($A227,祝日!$A:$C,3,FALSE)="",
    "",
    VLOOKUP($A227,祝日!$A:$C,3,FALSE)
  ),
  ""
)</f>
        <v/>
      </c>
    </row>
    <row r="228" spans="1:4" ht="15.75" x14ac:dyDescent="0.25">
      <c r="A228" s="35">
        <v>44057</v>
      </c>
      <c r="B228" s="60">
        <f t="shared" si="3"/>
        <v>8</v>
      </c>
      <c r="C228" s="36" t="str">
        <f>IFERROR(
  IF(
    VLOOKUP($A228,祝日!$A:$C,2,FALSE)="",
    "",
    VLOOKUP($A228,祝日!$A:$C,2,FALSE)
  ),
  ""
)</f>
        <v/>
      </c>
      <c r="D228" s="36" t="str">
        <f>IFERROR(
  IF(
    VLOOKUP($A228,祝日!$A:$C,3,FALSE)="",
    "",
    VLOOKUP($A228,祝日!$A:$C,3,FALSE)
  ),
  ""
)</f>
        <v/>
      </c>
    </row>
    <row r="229" spans="1:4" ht="15.75" x14ac:dyDescent="0.25">
      <c r="A229" s="35">
        <v>44058</v>
      </c>
      <c r="B229" s="60">
        <f t="shared" si="3"/>
        <v>0</v>
      </c>
      <c r="C229" s="36" t="str">
        <f>IFERROR(
  IF(
    VLOOKUP($A229,祝日!$A:$C,2,FALSE)="",
    "",
    VLOOKUP($A229,祝日!$A:$C,2,FALSE)
  ),
  ""
)</f>
        <v/>
      </c>
      <c r="D229" s="36" t="str">
        <f>IFERROR(
  IF(
    VLOOKUP($A229,祝日!$A:$C,3,FALSE)="",
    "",
    VLOOKUP($A229,祝日!$A:$C,3,FALSE)
  ),
  ""
)</f>
        <v/>
      </c>
    </row>
    <row r="230" spans="1:4" ht="15.75" x14ac:dyDescent="0.25">
      <c r="A230" s="35">
        <v>44059</v>
      </c>
      <c r="B230" s="60">
        <f t="shared" si="3"/>
        <v>0</v>
      </c>
      <c r="C230" s="36" t="str">
        <f>IFERROR(
  IF(
    VLOOKUP($A230,祝日!$A:$C,2,FALSE)="",
    "",
    VLOOKUP($A230,祝日!$A:$C,2,FALSE)
  ),
  ""
)</f>
        <v/>
      </c>
      <c r="D230" s="36" t="str">
        <f>IFERROR(
  IF(
    VLOOKUP($A230,祝日!$A:$C,3,FALSE)="",
    "",
    VLOOKUP($A230,祝日!$A:$C,3,FALSE)
  ),
  ""
)</f>
        <v/>
      </c>
    </row>
    <row r="231" spans="1:4" ht="15.75" x14ac:dyDescent="0.25">
      <c r="A231" s="35">
        <v>44060</v>
      </c>
      <c r="B231" s="60">
        <f t="shared" si="3"/>
        <v>8</v>
      </c>
      <c r="C231" s="36" t="str">
        <f>IFERROR(
  IF(
    VLOOKUP($A231,祝日!$A:$C,2,FALSE)="",
    "",
    VLOOKUP($A231,祝日!$A:$C,2,FALSE)
  ),
  ""
)</f>
        <v/>
      </c>
      <c r="D231" s="36" t="str">
        <f>IFERROR(
  IF(
    VLOOKUP($A231,祝日!$A:$C,3,FALSE)="",
    "",
    VLOOKUP($A231,祝日!$A:$C,3,FALSE)
  ),
  ""
)</f>
        <v/>
      </c>
    </row>
    <row r="232" spans="1:4" ht="15.75" x14ac:dyDescent="0.25">
      <c r="A232" s="35">
        <v>44061</v>
      </c>
      <c r="B232" s="60">
        <f t="shared" si="3"/>
        <v>8</v>
      </c>
      <c r="C232" s="36" t="str">
        <f>IFERROR(
  IF(
    VLOOKUP($A232,祝日!$A:$C,2,FALSE)="",
    "",
    VLOOKUP($A232,祝日!$A:$C,2,FALSE)
  ),
  ""
)</f>
        <v/>
      </c>
      <c r="D232" s="36" t="str">
        <f>IFERROR(
  IF(
    VLOOKUP($A232,祝日!$A:$C,3,FALSE)="",
    "",
    VLOOKUP($A232,祝日!$A:$C,3,FALSE)
  ),
  ""
)</f>
        <v/>
      </c>
    </row>
    <row r="233" spans="1:4" ht="15.75" x14ac:dyDescent="0.25">
      <c r="A233" s="35">
        <v>44062</v>
      </c>
      <c r="B233" s="60">
        <f t="shared" si="3"/>
        <v>8</v>
      </c>
      <c r="C233" s="36" t="str">
        <f>IFERROR(
  IF(
    VLOOKUP($A233,祝日!$A:$C,2,FALSE)="",
    "",
    VLOOKUP($A233,祝日!$A:$C,2,FALSE)
  ),
  ""
)</f>
        <v/>
      </c>
      <c r="D233" s="36" t="str">
        <f>IFERROR(
  IF(
    VLOOKUP($A233,祝日!$A:$C,3,FALSE)="",
    "",
    VLOOKUP($A233,祝日!$A:$C,3,FALSE)
  ),
  ""
)</f>
        <v/>
      </c>
    </row>
    <row r="234" spans="1:4" ht="15.75" x14ac:dyDescent="0.25">
      <c r="A234" s="35">
        <v>44063</v>
      </c>
      <c r="B234" s="60">
        <f t="shared" si="3"/>
        <v>8</v>
      </c>
      <c r="C234" s="36" t="str">
        <f>IFERROR(
  IF(
    VLOOKUP($A234,祝日!$A:$C,2,FALSE)="",
    "",
    VLOOKUP($A234,祝日!$A:$C,2,FALSE)
  ),
  ""
)</f>
        <v/>
      </c>
      <c r="D234" s="36" t="str">
        <f>IFERROR(
  IF(
    VLOOKUP($A234,祝日!$A:$C,3,FALSE)="",
    "",
    VLOOKUP($A234,祝日!$A:$C,3,FALSE)
  ),
  ""
)</f>
        <v/>
      </c>
    </row>
    <row r="235" spans="1:4" ht="15.75" x14ac:dyDescent="0.25">
      <c r="A235" s="35">
        <v>44064</v>
      </c>
      <c r="B235" s="60">
        <f t="shared" si="3"/>
        <v>8</v>
      </c>
      <c r="C235" s="36" t="str">
        <f>IFERROR(
  IF(
    VLOOKUP($A235,祝日!$A:$C,2,FALSE)="",
    "",
    VLOOKUP($A235,祝日!$A:$C,2,FALSE)
  ),
  ""
)</f>
        <v/>
      </c>
      <c r="D235" s="36" t="str">
        <f>IFERROR(
  IF(
    VLOOKUP($A235,祝日!$A:$C,3,FALSE)="",
    "",
    VLOOKUP($A235,祝日!$A:$C,3,FALSE)
  ),
  ""
)</f>
        <v/>
      </c>
    </row>
    <row r="236" spans="1:4" ht="15.75" x14ac:dyDescent="0.25">
      <c r="A236" s="35">
        <v>44065</v>
      </c>
      <c r="B236" s="60">
        <f t="shared" si="3"/>
        <v>0</v>
      </c>
      <c r="C236" s="36" t="str">
        <f>IFERROR(
  IF(
    VLOOKUP($A236,祝日!$A:$C,2,FALSE)="",
    "",
    VLOOKUP($A236,祝日!$A:$C,2,FALSE)
  ),
  ""
)</f>
        <v/>
      </c>
      <c r="D236" s="36" t="str">
        <f>IFERROR(
  IF(
    VLOOKUP($A236,祝日!$A:$C,3,FALSE)="",
    "",
    VLOOKUP($A236,祝日!$A:$C,3,FALSE)
  ),
  ""
)</f>
        <v/>
      </c>
    </row>
    <row r="237" spans="1:4" ht="15.75" x14ac:dyDescent="0.25">
      <c r="A237" s="35">
        <v>44066</v>
      </c>
      <c r="B237" s="60">
        <f t="shared" si="3"/>
        <v>0</v>
      </c>
      <c r="C237" s="36" t="str">
        <f>IFERROR(
  IF(
    VLOOKUP($A237,祝日!$A:$C,2,FALSE)="",
    "",
    VLOOKUP($A237,祝日!$A:$C,2,FALSE)
  ),
  ""
)</f>
        <v/>
      </c>
      <c r="D237" s="36" t="str">
        <f>IFERROR(
  IF(
    VLOOKUP($A237,祝日!$A:$C,3,FALSE)="",
    "",
    VLOOKUP($A237,祝日!$A:$C,3,FALSE)
  ),
  ""
)</f>
        <v/>
      </c>
    </row>
    <row r="238" spans="1:4" ht="15.75" x14ac:dyDescent="0.25">
      <c r="A238" s="35">
        <v>44067</v>
      </c>
      <c r="B238" s="60">
        <f t="shared" si="3"/>
        <v>8</v>
      </c>
      <c r="C238" s="36" t="str">
        <f>IFERROR(
  IF(
    VLOOKUP($A238,祝日!$A:$C,2,FALSE)="",
    "",
    VLOOKUP($A238,祝日!$A:$C,2,FALSE)
  ),
  ""
)</f>
        <v/>
      </c>
      <c r="D238" s="36" t="str">
        <f>IFERROR(
  IF(
    VLOOKUP($A238,祝日!$A:$C,3,FALSE)="",
    "",
    VLOOKUP($A238,祝日!$A:$C,3,FALSE)
  ),
  ""
)</f>
        <v/>
      </c>
    </row>
    <row r="239" spans="1:4" ht="15.75" x14ac:dyDescent="0.25">
      <c r="A239" s="35">
        <v>44068</v>
      </c>
      <c r="B239" s="60">
        <f t="shared" si="3"/>
        <v>8</v>
      </c>
      <c r="C239" s="36" t="str">
        <f>IFERROR(
  IF(
    VLOOKUP($A239,祝日!$A:$C,2,FALSE)="",
    "",
    VLOOKUP($A239,祝日!$A:$C,2,FALSE)
  ),
  ""
)</f>
        <v/>
      </c>
      <c r="D239" s="36" t="str">
        <f>IFERROR(
  IF(
    VLOOKUP($A239,祝日!$A:$C,3,FALSE)="",
    "",
    VLOOKUP($A239,祝日!$A:$C,3,FALSE)
  ),
  ""
)</f>
        <v/>
      </c>
    </row>
    <row r="240" spans="1:4" ht="15.75" x14ac:dyDescent="0.25">
      <c r="A240" s="35">
        <v>44069</v>
      </c>
      <c r="B240" s="60">
        <f t="shared" si="3"/>
        <v>8</v>
      </c>
      <c r="C240" s="36" t="str">
        <f>IFERROR(
  IF(
    VLOOKUP($A240,祝日!$A:$C,2,FALSE)="",
    "",
    VLOOKUP($A240,祝日!$A:$C,2,FALSE)
  ),
  ""
)</f>
        <v/>
      </c>
      <c r="D240" s="36" t="str">
        <f>IFERROR(
  IF(
    VLOOKUP($A240,祝日!$A:$C,3,FALSE)="",
    "",
    VLOOKUP($A240,祝日!$A:$C,3,FALSE)
  ),
  ""
)</f>
        <v/>
      </c>
    </row>
    <row r="241" spans="1:4" ht="15.75" x14ac:dyDescent="0.25">
      <c r="A241" s="35">
        <v>44070</v>
      </c>
      <c r="B241" s="60">
        <f t="shared" si="3"/>
        <v>8</v>
      </c>
      <c r="C241" s="36" t="str">
        <f>IFERROR(
  IF(
    VLOOKUP($A241,祝日!$A:$C,2,FALSE)="",
    "",
    VLOOKUP($A241,祝日!$A:$C,2,FALSE)
  ),
  ""
)</f>
        <v/>
      </c>
      <c r="D241" s="36" t="str">
        <f>IFERROR(
  IF(
    VLOOKUP($A241,祝日!$A:$C,3,FALSE)="",
    "",
    VLOOKUP($A241,祝日!$A:$C,3,FALSE)
  ),
  ""
)</f>
        <v/>
      </c>
    </row>
    <row r="242" spans="1:4" ht="15.75" x14ac:dyDescent="0.25">
      <c r="A242" s="35">
        <v>44071</v>
      </c>
      <c r="B242" s="60">
        <f t="shared" si="3"/>
        <v>8</v>
      </c>
      <c r="C242" s="36" t="str">
        <f>IFERROR(
  IF(
    VLOOKUP($A242,祝日!$A:$C,2,FALSE)="",
    "",
    VLOOKUP($A242,祝日!$A:$C,2,FALSE)
  ),
  ""
)</f>
        <v/>
      </c>
      <c r="D242" s="36" t="str">
        <f>IFERROR(
  IF(
    VLOOKUP($A242,祝日!$A:$C,3,FALSE)="",
    "",
    VLOOKUP($A242,祝日!$A:$C,3,FALSE)
  ),
  ""
)</f>
        <v/>
      </c>
    </row>
    <row r="243" spans="1:4" ht="15.75" x14ac:dyDescent="0.25">
      <c r="A243" s="35">
        <v>44072</v>
      </c>
      <c r="B243" s="60">
        <f t="shared" si="3"/>
        <v>0</v>
      </c>
      <c r="C243" s="36" t="str">
        <f>IFERROR(
  IF(
    VLOOKUP($A243,祝日!$A:$C,2,FALSE)="",
    "",
    VLOOKUP($A243,祝日!$A:$C,2,FALSE)
  ),
  ""
)</f>
        <v/>
      </c>
      <c r="D243" s="36" t="str">
        <f>IFERROR(
  IF(
    VLOOKUP($A243,祝日!$A:$C,3,FALSE)="",
    "",
    VLOOKUP($A243,祝日!$A:$C,3,FALSE)
  ),
  ""
)</f>
        <v/>
      </c>
    </row>
    <row r="244" spans="1:4" ht="15.75" x14ac:dyDescent="0.25">
      <c r="A244" s="35">
        <v>44073</v>
      </c>
      <c r="B244" s="60">
        <f t="shared" si="3"/>
        <v>0</v>
      </c>
      <c r="C244" s="36" t="str">
        <f>IFERROR(
  IF(
    VLOOKUP($A244,祝日!$A:$C,2,FALSE)="",
    "",
    VLOOKUP($A244,祝日!$A:$C,2,FALSE)
  ),
  ""
)</f>
        <v/>
      </c>
      <c r="D244" s="36" t="str">
        <f>IFERROR(
  IF(
    VLOOKUP($A244,祝日!$A:$C,3,FALSE)="",
    "",
    VLOOKUP($A244,祝日!$A:$C,3,FALSE)
  ),
  ""
)</f>
        <v/>
      </c>
    </row>
    <row r="245" spans="1:4" ht="15.75" x14ac:dyDescent="0.25">
      <c r="A245" s="35">
        <v>44074</v>
      </c>
      <c r="B245" s="60">
        <f t="shared" si="3"/>
        <v>8</v>
      </c>
      <c r="C245" s="36" t="str">
        <f>IFERROR(
  IF(
    VLOOKUP($A245,祝日!$A:$C,2,FALSE)="",
    "",
    VLOOKUP($A245,祝日!$A:$C,2,FALSE)
  ),
  ""
)</f>
        <v/>
      </c>
      <c r="D245" s="36" t="str">
        <f>IFERROR(
  IF(
    VLOOKUP($A245,祝日!$A:$C,3,FALSE)="",
    "",
    VLOOKUP($A245,祝日!$A:$C,3,FALSE)
  ),
  ""
)</f>
        <v/>
      </c>
    </row>
    <row r="246" spans="1:4" ht="15.75" x14ac:dyDescent="0.25">
      <c r="A246" s="35">
        <v>44075</v>
      </c>
      <c r="B246" s="60">
        <f t="shared" si="3"/>
        <v>8</v>
      </c>
      <c r="C246" s="36" t="str">
        <f>IFERROR(
  IF(
    VLOOKUP($A246,祝日!$A:$C,2,FALSE)="",
    "",
    VLOOKUP($A246,祝日!$A:$C,2,FALSE)
  ),
  ""
)</f>
        <v/>
      </c>
      <c r="D246" s="36" t="str">
        <f>IFERROR(
  IF(
    VLOOKUP($A246,祝日!$A:$C,3,FALSE)="",
    "",
    VLOOKUP($A246,祝日!$A:$C,3,FALSE)
  ),
  ""
)</f>
        <v/>
      </c>
    </row>
    <row r="247" spans="1:4" ht="15.75" x14ac:dyDescent="0.25">
      <c r="A247" s="35">
        <v>44076</v>
      </c>
      <c r="B247" s="60">
        <f t="shared" si="3"/>
        <v>8</v>
      </c>
      <c r="C247" s="36" t="str">
        <f>IFERROR(
  IF(
    VLOOKUP($A247,祝日!$A:$C,2,FALSE)="",
    "",
    VLOOKUP($A247,祝日!$A:$C,2,FALSE)
  ),
  ""
)</f>
        <v/>
      </c>
      <c r="D247" s="36" t="str">
        <f>IFERROR(
  IF(
    VLOOKUP($A247,祝日!$A:$C,3,FALSE)="",
    "",
    VLOOKUP($A247,祝日!$A:$C,3,FALSE)
  ),
  ""
)</f>
        <v/>
      </c>
    </row>
    <row r="248" spans="1:4" ht="15.75" x14ac:dyDescent="0.25">
      <c r="A248" s="35">
        <v>44077</v>
      </c>
      <c r="B248" s="60">
        <f t="shared" si="3"/>
        <v>8</v>
      </c>
      <c r="C248" s="36" t="str">
        <f>IFERROR(
  IF(
    VLOOKUP($A248,祝日!$A:$C,2,FALSE)="",
    "",
    VLOOKUP($A248,祝日!$A:$C,2,FALSE)
  ),
  ""
)</f>
        <v/>
      </c>
      <c r="D248" s="36" t="str">
        <f>IFERROR(
  IF(
    VLOOKUP($A248,祝日!$A:$C,3,FALSE)="",
    "",
    VLOOKUP($A248,祝日!$A:$C,3,FALSE)
  ),
  ""
)</f>
        <v/>
      </c>
    </row>
    <row r="249" spans="1:4" ht="15.75" x14ac:dyDescent="0.25">
      <c r="A249" s="35">
        <v>44078</v>
      </c>
      <c r="B249" s="60">
        <f t="shared" si="3"/>
        <v>8</v>
      </c>
      <c r="C249" s="36" t="str">
        <f>IFERROR(
  IF(
    VLOOKUP($A249,祝日!$A:$C,2,FALSE)="",
    "",
    VLOOKUP($A249,祝日!$A:$C,2,FALSE)
  ),
  ""
)</f>
        <v/>
      </c>
      <c r="D249" s="36" t="str">
        <f>IFERROR(
  IF(
    VLOOKUP($A249,祝日!$A:$C,3,FALSE)="",
    "",
    VLOOKUP($A249,祝日!$A:$C,3,FALSE)
  ),
  ""
)</f>
        <v/>
      </c>
    </row>
    <row r="250" spans="1:4" ht="15.75" x14ac:dyDescent="0.25">
      <c r="A250" s="35">
        <v>44079</v>
      </c>
      <c r="B250" s="60">
        <f t="shared" si="3"/>
        <v>0</v>
      </c>
      <c r="C250" s="36" t="str">
        <f>IFERROR(
  IF(
    VLOOKUP($A250,祝日!$A:$C,2,FALSE)="",
    "",
    VLOOKUP($A250,祝日!$A:$C,2,FALSE)
  ),
  ""
)</f>
        <v/>
      </c>
      <c r="D250" s="36" t="str">
        <f>IFERROR(
  IF(
    VLOOKUP($A250,祝日!$A:$C,3,FALSE)="",
    "",
    VLOOKUP($A250,祝日!$A:$C,3,FALSE)
  ),
  ""
)</f>
        <v/>
      </c>
    </row>
    <row r="251" spans="1:4" ht="15.75" x14ac:dyDescent="0.25">
      <c r="A251" s="35">
        <v>44080</v>
      </c>
      <c r="B251" s="60">
        <f t="shared" si="3"/>
        <v>0</v>
      </c>
      <c r="C251" s="36" t="str">
        <f>IFERROR(
  IF(
    VLOOKUP($A251,祝日!$A:$C,2,FALSE)="",
    "",
    VLOOKUP($A251,祝日!$A:$C,2,FALSE)
  ),
  ""
)</f>
        <v/>
      </c>
      <c r="D251" s="36" t="str">
        <f>IFERROR(
  IF(
    VLOOKUP($A251,祝日!$A:$C,3,FALSE)="",
    "",
    VLOOKUP($A251,祝日!$A:$C,3,FALSE)
  ),
  ""
)</f>
        <v/>
      </c>
    </row>
    <row r="252" spans="1:4" ht="15.75" x14ac:dyDescent="0.25">
      <c r="A252" s="35">
        <v>44081</v>
      </c>
      <c r="B252" s="60">
        <f t="shared" si="3"/>
        <v>8</v>
      </c>
      <c r="C252" s="36" t="str">
        <f>IFERROR(
  IF(
    VLOOKUP($A252,祝日!$A:$C,2,FALSE)="",
    "",
    VLOOKUP($A252,祝日!$A:$C,2,FALSE)
  ),
  ""
)</f>
        <v/>
      </c>
      <c r="D252" s="36" t="str">
        <f>IFERROR(
  IF(
    VLOOKUP($A252,祝日!$A:$C,3,FALSE)="",
    "",
    VLOOKUP($A252,祝日!$A:$C,3,FALSE)
  ),
  ""
)</f>
        <v/>
      </c>
    </row>
    <row r="253" spans="1:4" ht="15.75" x14ac:dyDescent="0.25">
      <c r="A253" s="35">
        <v>44082</v>
      </c>
      <c r="B253" s="60">
        <f t="shared" si="3"/>
        <v>8</v>
      </c>
      <c r="C253" s="36" t="str">
        <f>IFERROR(
  IF(
    VLOOKUP($A253,祝日!$A:$C,2,FALSE)="",
    "",
    VLOOKUP($A253,祝日!$A:$C,2,FALSE)
  ),
  ""
)</f>
        <v/>
      </c>
      <c r="D253" s="36" t="str">
        <f>IFERROR(
  IF(
    VLOOKUP($A253,祝日!$A:$C,3,FALSE)="",
    "",
    VLOOKUP($A253,祝日!$A:$C,3,FALSE)
  ),
  ""
)</f>
        <v/>
      </c>
    </row>
    <row r="254" spans="1:4" ht="15.75" x14ac:dyDescent="0.25">
      <c r="A254" s="35">
        <v>44083</v>
      </c>
      <c r="B254" s="60">
        <f t="shared" si="3"/>
        <v>8</v>
      </c>
      <c r="C254" s="36" t="str">
        <f>IFERROR(
  IF(
    VLOOKUP($A254,祝日!$A:$C,2,FALSE)="",
    "",
    VLOOKUP($A254,祝日!$A:$C,2,FALSE)
  ),
  ""
)</f>
        <v/>
      </c>
      <c r="D254" s="36" t="str">
        <f>IFERROR(
  IF(
    VLOOKUP($A254,祝日!$A:$C,3,FALSE)="",
    "",
    VLOOKUP($A254,祝日!$A:$C,3,FALSE)
  ),
  ""
)</f>
        <v/>
      </c>
    </row>
    <row r="255" spans="1:4" ht="15.75" x14ac:dyDescent="0.25">
      <c r="A255" s="35">
        <v>44084</v>
      </c>
      <c r="B255" s="60">
        <f t="shared" si="3"/>
        <v>8</v>
      </c>
      <c r="C255" s="36" t="str">
        <f>IFERROR(
  IF(
    VLOOKUP($A255,祝日!$A:$C,2,FALSE)="",
    "",
    VLOOKUP($A255,祝日!$A:$C,2,FALSE)
  ),
  ""
)</f>
        <v/>
      </c>
      <c r="D255" s="36" t="str">
        <f>IFERROR(
  IF(
    VLOOKUP($A255,祝日!$A:$C,3,FALSE)="",
    "",
    VLOOKUP($A255,祝日!$A:$C,3,FALSE)
  ),
  ""
)</f>
        <v/>
      </c>
    </row>
    <row r="256" spans="1:4" ht="15.75" x14ac:dyDescent="0.25">
      <c r="A256" s="35">
        <v>44085</v>
      </c>
      <c r="B256" s="60">
        <f t="shared" si="3"/>
        <v>8</v>
      </c>
      <c r="C256" s="36" t="str">
        <f>IFERROR(
  IF(
    VLOOKUP($A256,祝日!$A:$C,2,FALSE)="",
    "",
    VLOOKUP($A256,祝日!$A:$C,2,FALSE)
  ),
  ""
)</f>
        <v/>
      </c>
      <c r="D256" s="36" t="str">
        <f>IFERROR(
  IF(
    VLOOKUP($A256,祝日!$A:$C,3,FALSE)="",
    "",
    VLOOKUP($A256,祝日!$A:$C,3,FALSE)
  ),
  ""
)</f>
        <v/>
      </c>
    </row>
    <row r="257" spans="1:4" ht="15.75" x14ac:dyDescent="0.25">
      <c r="A257" s="35">
        <v>44086</v>
      </c>
      <c r="B257" s="60">
        <f t="shared" si="3"/>
        <v>0</v>
      </c>
      <c r="C257" s="36" t="str">
        <f>IFERROR(
  IF(
    VLOOKUP($A257,祝日!$A:$C,2,FALSE)="",
    "",
    VLOOKUP($A257,祝日!$A:$C,2,FALSE)
  ),
  ""
)</f>
        <v/>
      </c>
      <c r="D257" s="36" t="str">
        <f>IFERROR(
  IF(
    VLOOKUP($A257,祝日!$A:$C,3,FALSE)="",
    "",
    VLOOKUP($A257,祝日!$A:$C,3,FALSE)
  ),
  ""
)</f>
        <v/>
      </c>
    </row>
    <row r="258" spans="1:4" ht="15.75" x14ac:dyDescent="0.25">
      <c r="A258" s="35">
        <v>44087</v>
      </c>
      <c r="B258" s="60">
        <f t="shared" si="3"/>
        <v>0</v>
      </c>
      <c r="C258" s="36" t="str">
        <f>IFERROR(
  IF(
    VLOOKUP($A258,祝日!$A:$C,2,FALSE)="",
    "",
    VLOOKUP($A258,祝日!$A:$C,2,FALSE)
  ),
  ""
)</f>
        <v/>
      </c>
      <c r="D258" s="36" t="str">
        <f>IFERROR(
  IF(
    VLOOKUP($A258,祝日!$A:$C,3,FALSE)="",
    "",
    VLOOKUP($A258,祝日!$A:$C,3,FALSE)
  ),
  ""
)</f>
        <v/>
      </c>
    </row>
    <row r="259" spans="1:4" ht="15.75" x14ac:dyDescent="0.25">
      <c r="A259" s="35">
        <v>44088</v>
      </c>
      <c r="B259" s="60">
        <f t="shared" ref="B259:B322" si="4">IF(OR(5&lt;WEEKDAY(A259,2)),0,8)</f>
        <v>8</v>
      </c>
      <c r="C259" s="36" t="str">
        <f>IFERROR(
  IF(
    VLOOKUP($A259,祝日!$A:$C,2,FALSE)="",
    "",
    VLOOKUP($A259,祝日!$A:$C,2,FALSE)
  ),
  ""
)</f>
        <v/>
      </c>
      <c r="D259" s="36" t="str">
        <f>IFERROR(
  IF(
    VLOOKUP($A259,祝日!$A:$C,3,FALSE)="",
    "",
    VLOOKUP($A259,祝日!$A:$C,3,FALSE)
  ),
  ""
)</f>
        <v/>
      </c>
    </row>
    <row r="260" spans="1:4" ht="15.75" x14ac:dyDescent="0.25">
      <c r="A260" s="35">
        <v>44089</v>
      </c>
      <c r="B260" s="60">
        <f t="shared" si="4"/>
        <v>8</v>
      </c>
      <c r="C260" s="36" t="str">
        <f>IFERROR(
  IF(
    VLOOKUP($A260,祝日!$A:$C,2,FALSE)="",
    "",
    VLOOKUP($A260,祝日!$A:$C,2,FALSE)
  ),
  ""
)</f>
        <v/>
      </c>
      <c r="D260" s="36" t="str">
        <f>IFERROR(
  IF(
    VLOOKUP($A260,祝日!$A:$C,3,FALSE)="",
    "",
    VLOOKUP($A260,祝日!$A:$C,3,FALSE)
  ),
  ""
)</f>
        <v/>
      </c>
    </row>
    <row r="261" spans="1:4" ht="15.75" x14ac:dyDescent="0.25">
      <c r="A261" s="35">
        <v>44090</v>
      </c>
      <c r="B261" s="60">
        <f t="shared" si="4"/>
        <v>8</v>
      </c>
      <c r="C261" s="36" t="str">
        <f>IFERROR(
  IF(
    VLOOKUP($A261,祝日!$A:$C,2,FALSE)="",
    "",
    VLOOKUP($A261,祝日!$A:$C,2,FALSE)
  ),
  ""
)</f>
        <v/>
      </c>
      <c r="D261" s="36" t="str">
        <f>IFERROR(
  IF(
    VLOOKUP($A261,祝日!$A:$C,3,FALSE)="",
    "",
    VLOOKUP($A261,祝日!$A:$C,3,FALSE)
  ),
  ""
)</f>
        <v/>
      </c>
    </row>
    <row r="262" spans="1:4" ht="15.75" x14ac:dyDescent="0.25">
      <c r="A262" s="35">
        <v>44091</v>
      </c>
      <c r="B262" s="60">
        <f t="shared" si="4"/>
        <v>8</v>
      </c>
      <c r="C262" s="36" t="str">
        <f>IFERROR(
  IF(
    VLOOKUP($A262,祝日!$A:$C,2,FALSE)="",
    "",
    VLOOKUP($A262,祝日!$A:$C,2,FALSE)
  ),
  ""
)</f>
        <v/>
      </c>
      <c r="D262" s="36" t="str">
        <f>IFERROR(
  IF(
    VLOOKUP($A262,祝日!$A:$C,3,FALSE)="",
    "",
    VLOOKUP($A262,祝日!$A:$C,3,FALSE)
  ),
  ""
)</f>
        <v/>
      </c>
    </row>
    <row r="263" spans="1:4" ht="15.75" x14ac:dyDescent="0.25">
      <c r="A263" s="35">
        <v>44092</v>
      </c>
      <c r="B263" s="60">
        <f t="shared" si="4"/>
        <v>8</v>
      </c>
      <c r="C263" s="36" t="str">
        <f>IFERROR(
  IF(
    VLOOKUP($A263,祝日!$A:$C,2,FALSE)="",
    "",
    VLOOKUP($A263,祝日!$A:$C,2,FALSE)
  ),
  ""
)</f>
        <v/>
      </c>
      <c r="D263" s="36" t="str">
        <f>IFERROR(
  IF(
    VLOOKUP($A263,祝日!$A:$C,3,FALSE)="",
    "",
    VLOOKUP($A263,祝日!$A:$C,3,FALSE)
  ),
  ""
)</f>
        <v/>
      </c>
    </row>
    <row r="264" spans="1:4" ht="15.75" x14ac:dyDescent="0.25">
      <c r="A264" s="35">
        <v>44093</v>
      </c>
      <c r="B264" s="60">
        <f t="shared" si="4"/>
        <v>0</v>
      </c>
      <c r="C264" s="36" t="str">
        <f>IFERROR(
  IF(
    VLOOKUP($A264,祝日!$A:$C,2,FALSE)="",
    "",
    VLOOKUP($A264,祝日!$A:$C,2,FALSE)
  ),
  ""
)</f>
        <v/>
      </c>
      <c r="D264" s="36" t="str">
        <f>IFERROR(
  IF(
    VLOOKUP($A264,祝日!$A:$C,3,FALSE)="",
    "",
    VLOOKUP($A264,祝日!$A:$C,3,FALSE)
  ),
  ""
)</f>
        <v/>
      </c>
    </row>
    <row r="265" spans="1:4" ht="15.75" x14ac:dyDescent="0.25">
      <c r="A265" s="35">
        <v>44094</v>
      </c>
      <c r="B265" s="60">
        <f t="shared" si="4"/>
        <v>0</v>
      </c>
      <c r="C265" s="36" t="str">
        <f>IFERROR(
  IF(
    VLOOKUP($A265,祝日!$A:$C,2,FALSE)="",
    "",
    VLOOKUP($A265,祝日!$A:$C,2,FALSE)
  ),
  ""
)</f>
        <v/>
      </c>
      <c r="D265" s="36" t="str">
        <f>IFERROR(
  IF(
    VLOOKUP($A265,祝日!$A:$C,3,FALSE)="",
    "",
    VLOOKUP($A265,祝日!$A:$C,3,FALSE)
  ),
  ""
)</f>
        <v/>
      </c>
    </row>
    <row r="266" spans="1:4" ht="15.75" x14ac:dyDescent="0.25">
      <c r="A266" s="35">
        <v>44095</v>
      </c>
      <c r="B266" s="60">
        <f t="shared" si="4"/>
        <v>8</v>
      </c>
      <c r="C266" s="36" t="str">
        <f>IFERROR(
  IF(
    VLOOKUP($A266,祝日!$A:$C,2,FALSE)="",
    "",
    VLOOKUP($A266,祝日!$A:$C,2,FALSE)
  ),
  ""
)</f>
        <v xml:space="preserve">敬老の日 </v>
      </c>
      <c r="D266" s="36" t="str">
        <f>IFERROR(
  IF(
    VLOOKUP($A266,祝日!$A:$C,3,FALSE)="",
    "",
    VLOOKUP($A266,祝日!$A:$C,3,FALSE)
  ),
  ""
)</f>
        <v>9月第3月曜日</v>
      </c>
    </row>
    <row r="267" spans="1:4" ht="15.75" x14ac:dyDescent="0.25">
      <c r="A267" s="35">
        <v>44096</v>
      </c>
      <c r="B267" s="60">
        <f t="shared" si="4"/>
        <v>8</v>
      </c>
      <c r="C267" s="36" t="str">
        <f>IFERROR(
  IF(
    VLOOKUP($A267,祝日!$A:$C,2,FALSE)="",
    "",
    VLOOKUP($A267,祝日!$A:$C,2,FALSE)
  ),
  ""
)</f>
        <v xml:space="preserve">秋分の日 </v>
      </c>
      <c r="D267" s="36" t="str">
        <f>IFERROR(
  IF(
    VLOOKUP($A267,祝日!$A:$C,3,FALSE)="",
    "",
    VLOOKUP($A267,祝日!$A:$C,3,FALSE)
  ),
  ""
)</f>
        <v/>
      </c>
    </row>
    <row r="268" spans="1:4" ht="15.75" x14ac:dyDescent="0.25">
      <c r="A268" s="35">
        <v>44097</v>
      </c>
      <c r="B268" s="60">
        <f t="shared" si="4"/>
        <v>8</v>
      </c>
      <c r="C268" s="36" t="str">
        <f>IFERROR(
  IF(
    VLOOKUP($A268,祝日!$A:$C,2,FALSE)="",
    "",
    VLOOKUP($A268,祝日!$A:$C,2,FALSE)
  ),
  ""
)</f>
        <v/>
      </c>
      <c r="D268" s="36" t="str">
        <f>IFERROR(
  IF(
    VLOOKUP($A268,祝日!$A:$C,3,FALSE)="",
    "",
    VLOOKUP($A268,祝日!$A:$C,3,FALSE)
  ),
  ""
)</f>
        <v/>
      </c>
    </row>
    <row r="269" spans="1:4" ht="15.75" x14ac:dyDescent="0.25">
      <c r="A269" s="35">
        <v>44098</v>
      </c>
      <c r="B269" s="60">
        <f t="shared" si="4"/>
        <v>8</v>
      </c>
      <c r="C269" s="36" t="str">
        <f>IFERROR(
  IF(
    VLOOKUP($A269,祝日!$A:$C,2,FALSE)="",
    "",
    VLOOKUP($A269,祝日!$A:$C,2,FALSE)
  ),
  ""
)</f>
        <v/>
      </c>
      <c r="D269" s="36" t="str">
        <f>IFERROR(
  IF(
    VLOOKUP($A269,祝日!$A:$C,3,FALSE)="",
    "",
    VLOOKUP($A269,祝日!$A:$C,3,FALSE)
  ),
  ""
)</f>
        <v/>
      </c>
    </row>
    <row r="270" spans="1:4" ht="15.75" x14ac:dyDescent="0.25">
      <c r="A270" s="35">
        <v>44099</v>
      </c>
      <c r="B270" s="60">
        <f t="shared" si="4"/>
        <v>8</v>
      </c>
      <c r="C270" s="36" t="str">
        <f>IFERROR(
  IF(
    VLOOKUP($A270,祝日!$A:$C,2,FALSE)="",
    "",
    VLOOKUP($A270,祝日!$A:$C,2,FALSE)
  ),
  ""
)</f>
        <v/>
      </c>
      <c r="D270" s="36" t="str">
        <f>IFERROR(
  IF(
    VLOOKUP($A270,祝日!$A:$C,3,FALSE)="",
    "",
    VLOOKUP($A270,祝日!$A:$C,3,FALSE)
  ),
  ""
)</f>
        <v/>
      </c>
    </row>
    <row r="271" spans="1:4" ht="15.75" x14ac:dyDescent="0.25">
      <c r="A271" s="35">
        <v>44100</v>
      </c>
      <c r="B271" s="60">
        <f t="shared" si="4"/>
        <v>0</v>
      </c>
      <c r="C271" s="36" t="str">
        <f>IFERROR(
  IF(
    VLOOKUP($A271,祝日!$A:$C,2,FALSE)="",
    "",
    VLOOKUP($A271,祝日!$A:$C,2,FALSE)
  ),
  ""
)</f>
        <v/>
      </c>
      <c r="D271" s="36" t="str">
        <f>IFERROR(
  IF(
    VLOOKUP($A271,祝日!$A:$C,3,FALSE)="",
    "",
    VLOOKUP($A271,祝日!$A:$C,3,FALSE)
  ),
  ""
)</f>
        <v/>
      </c>
    </row>
    <row r="272" spans="1:4" ht="15.75" x14ac:dyDescent="0.25">
      <c r="A272" s="35">
        <v>44101</v>
      </c>
      <c r="B272" s="60">
        <f t="shared" si="4"/>
        <v>0</v>
      </c>
      <c r="C272" s="36" t="str">
        <f>IFERROR(
  IF(
    VLOOKUP($A272,祝日!$A:$C,2,FALSE)="",
    "",
    VLOOKUP($A272,祝日!$A:$C,2,FALSE)
  ),
  ""
)</f>
        <v/>
      </c>
      <c r="D272" s="36" t="str">
        <f>IFERROR(
  IF(
    VLOOKUP($A272,祝日!$A:$C,3,FALSE)="",
    "",
    VLOOKUP($A272,祝日!$A:$C,3,FALSE)
  ),
  ""
)</f>
        <v/>
      </c>
    </row>
    <row r="273" spans="1:4" ht="15.75" x14ac:dyDescent="0.25">
      <c r="A273" s="35">
        <v>44102</v>
      </c>
      <c r="B273" s="60">
        <f t="shared" si="4"/>
        <v>8</v>
      </c>
      <c r="C273" s="36" t="str">
        <f>IFERROR(
  IF(
    VLOOKUP($A273,祝日!$A:$C,2,FALSE)="",
    "",
    VLOOKUP($A273,祝日!$A:$C,2,FALSE)
  ),
  ""
)</f>
        <v/>
      </c>
      <c r="D273" s="36" t="str">
        <f>IFERROR(
  IF(
    VLOOKUP($A273,祝日!$A:$C,3,FALSE)="",
    "",
    VLOOKUP($A273,祝日!$A:$C,3,FALSE)
  ),
  ""
)</f>
        <v/>
      </c>
    </row>
    <row r="274" spans="1:4" ht="15.75" x14ac:dyDescent="0.25">
      <c r="A274" s="35">
        <v>44103</v>
      </c>
      <c r="B274" s="60">
        <f t="shared" si="4"/>
        <v>8</v>
      </c>
      <c r="C274" s="36" t="str">
        <f>IFERROR(
  IF(
    VLOOKUP($A274,祝日!$A:$C,2,FALSE)="",
    "",
    VLOOKUP($A274,祝日!$A:$C,2,FALSE)
  ),
  ""
)</f>
        <v/>
      </c>
      <c r="D274" s="36" t="str">
        <f>IFERROR(
  IF(
    VLOOKUP($A274,祝日!$A:$C,3,FALSE)="",
    "",
    VLOOKUP($A274,祝日!$A:$C,3,FALSE)
  ),
  ""
)</f>
        <v/>
      </c>
    </row>
    <row r="275" spans="1:4" ht="15.75" x14ac:dyDescent="0.25">
      <c r="A275" s="35">
        <v>44104</v>
      </c>
      <c r="B275" s="60">
        <f t="shared" si="4"/>
        <v>8</v>
      </c>
      <c r="C275" s="36" t="str">
        <f>IFERROR(
  IF(
    VLOOKUP($A275,祝日!$A:$C,2,FALSE)="",
    "",
    VLOOKUP($A275,祝日!$A:$C,2,FALSE)
  ),
  ""
)</f>
        <v/>
      </c>
      <c r="D275" s="36" t="str">
        <f>IFERROR(
  IF(
    VLOOKUP($A275,祝日!$A:$C,3,FALSE)="",
    "",
    VLOOKUP($A275,祝日!$A:$C,3,FALSE)
  ),
  ""
)</f>
        <v/>
      </c>
    </row>
    <row r="276" spans="1:4" ht="15.75" x14ac:dyDescent="0.25">
      <c r="A276" s="35">
        <v>44105</v>
      </c>
      <c r="B276" s="60">
        <f t="shared" si="4"/>
        <v>8</v>
      </c>
      <c r="C276" s="36" t="str">
        <f>IFERROR(
  IF(
    VLOOKUP($A276,祝日!$A:$C,2,FALSE)="",
    "",
    VLOOKUP($A276,祝日!$A:$C,2,FALSE)
  ),
  ""
)</f>
        <v/>
      </c>
      <c r="D276" s="36" t="str">
        <f>IFERROR(
  IF(
    VLOOKUP($A276,祝日!$A:$C,3,FALSE)="",
    "",
    VLOOKUP($A276,祝日!$A:$C,3,FALSE)
  ),
  ""
)</f>
        <v/>
      </c>
    </row>
    <row r="277" spans="1:4" ht="15.75" x14ac:dyDescent="0.25">
      <c r="A277" s="35">
        <v>44106</v>
      </c>
      <c r="B277" s="60">
        <f t="shared" si="4"/>
        <v>8</v>
      </c>
      <c r="C277" s="36" t="str">
        <f>IFERROR(
  IF(
    VLOOKUP($A277,祝日!$A:$C,2,FALSE)="",
    "",
    VLOOKUP($A277,祝日!$A:$C,2,FALSE)
  ),
  ""
)</f>
        <v/>
      </c>
      <c r="D277" s="36" t="str">
        <f>IFERROR(
  IF(
    VLOOKUP($A277,祝日!$A:$C,3,FALSE)="",
    "",
    VLOOKUP($A277,祝日!$A:$C,3,FALSE)
  ),
  ""
)</f>
        <v/>
      </c>
    </row>
    <row r="278" spans="1:4" ht="15.75" x14ac:dyDescent="0.25">
      <c r="A278" s="35">
        <v>44107</v>
      </c>
      <c r="B278" s="60">
        <f t="shared" si="4"/>
        <v>0</v>
      </c>
      <c r="C278" s="36" t="str">
        <f>IFERROR(
  IF(
    VLOOKUP($A278,祝日!$A:$C,2,FALSE)="",
    "",
    VLOOKUP($A278,祝日!$A:$C,2,FALSE)
  ),
  ""
)</f>
        <v/>
      </c>
      <c r="D278" s="36" t="str">
        <f>IFERROR(
  IF(
    VLOOKUP($A278,祝日!$A:$C,3,FALSE)="",
    "",
    VLOOKUP($A278,祝日!$A:$C,3,FALSE)
  ),
  ""
)</f>
        <v/>
      </c>
    </row>
    <row r="279" spans="1:4" ht="15.75" x14ac:dyDescent="0.25">
      <c r="A279" s="35">
        <v>44108</v>
      </c>
      <c r="B279" s="60">
        <f t="shared" si="4"/>
        <v>0</v>
      </c>
      <c r="C279" s="36" t="str">
        <f>IFERROR(
  IF(
    VLOOKUP($A279,祝日!$A:$C,2,FALSE)="",
    "",
    VLOOKUP($A279,祝日!$A:$C,2,FALSE)
  ),
  ""
)</f>
        <v/>
      </c>
      <c r="D279" s="36" t="str">
        <f>IFERROR(
  IF(
    VLOOKUP($A279,祝日!$A:$C,3,FALSE)="",
    "",
    VLOOKUP($A279,祝日!$A:$C,3,FALSE)
  ),
  ""
)</f>
        <v/>
      </c>
    </row>
    <row r="280" spans="1:4" ht="15.75" x14ac:dyDescent="0.25">
      <c r="A280" s="35">
        <v>44109</v>
      </c>
      <c r="B280" s="60">
        <f t="shared" si="4"/>
        <v>8</v>
      </c>
      <c r="C280" s="36" t="str">
        <f>IFERROR(
  IF(
    VLOOKUP($A280,祝日!$A:$C,2,FALSE)="",
    "",
    VLOOKUP($A280,祝日!$A:$C,2,FALSE)
  ),
  ""
)</f>
        <v/>
      </c>
      <c r="D280" s="36" t="str">
        <f>IFERROR(
  IF(
    VLOOKUP($A280,祝日!$A:$C,3,FALSE)="",
    "",
    VLOOKUP($A280,祝日!$A:$C,3,FALSE)
  ),
  ""
)</f>
        <v/>
      </c>
    </row>
    <row r="281" spans="1:4" ht="15.75" x14ac:dyDescent="0.25">
      <c r="A281" s="35">
        <v>44110</v>
      </c>
      <c r="B281" s="60">
        <f t="shared" si="4"/>
        <v>8</v>
      </c>
      <c r="C281" s="36" t="str">
        <f>IFERROR(
  IF(
    VLOOKUP($A281,祝日!$A:$C,2,FALSE)="",
    "",
    VLOOKUP($A281,祝日!$A:$C,2,FALSE)
  ),
  ""
)</f>
        <v/>
      </c>
      <c r="D281" s="36" t="str">
        <f>IFERROR(
  IF(
    VLOOKUP($A281,祝日!$A:$C,3,FALSE)="",
    "",
    VLOOKUP($A281,祝日!$A:$C,3,FALSE)
  ),
  ""
)</f>
        <v/>
      </c>
    </row>
    <row r="282" spans="1:4" ht="15.75" x14ac:dyDescent="0.25">
      <c r="A282" s="35">
        <v>44111</v>
      </c>
      <c r="B282" s="60">
        <f t="shared" si="4"/>
        <v>8</v>
      </c>
      <c r="C282" s="36" t="str">
        <f>IFERROR(
  IF(
    VLOOKUP($A282,祝日!$A:$C,2,FALSE)="",
    "",
    VLOOKUP($A282,祝日!$A:$C,2,FALSE)
  ),
  ""
)</f>
        <v/>
      </c>
      <c r="D282" s="36" t="str">
        <f>IFERROR(
  IF(
    VLOOKUP($A282,祝日!$A:$C,3,FALSE)="",
    "",
    VLOOKUP($A282,祝日!$A:$C,3,FALSE)
  ),
  ""
)</f>
        <v/>
      </c>
    </row>
    <row r="283" spans="1:4" ht="15.75" x14ac:dyDescent="0.25">
      <c r="A283" s="35">
        <v>44112</v>
      </c>
      <c r="B283" s="60">
        <f t="shared" si="4"/>
        <v>8</v>
      </c>
      <c r="C283" s="36" t="str">
        <f>IFERROR(
  IF(
    VLOOKUP($A283,祝日!$A:$C,2,FALSE)="",
    "",
    VLOOKUP($A283,祝日!$A:$C,2,FALSE)
  ),
  ""
)</f>
        <v/>
      </c>
      <c r="D283" s="36" t="str">
        <f>IFERROR(
  IF(
    VLOOKUP($A283,祝日!$A:$C,3,FALSE)="",
    "",
    VLOOKUP($A283,祝日!$A:$C,3,FALSE)
  ),
  ""
)</f>
        <v/>
      </c>
    </row>
    <row r="284" spans="1:4" ht="15.75" x14ac:dyDescent="0.25">
      <c r="A284" s="35">
        <v>44113</v>
      </c>
      <c r="B284" s="60">
        <f t="shared" si="4"/>
        <v>8</v>
      </c>
      <c r="C284" s="36" t="str">
        <f>IFERROR(
  IF(
    VLOOKUP($A284,祝日!$A:$C,2,FALSE)="",
    "",
    VLOOKUP($A284,祝日!$A:$C,2,FALSE)
  ),
  ""
)</f>
        <v/>
      </c>
      <c r="D284" s="36" t="str">
        <f>IFERROR(
  IF(
    VLOOKUP($A284,祝日!$A:$C,3,FALSE)="",
    "",
    VLOOKUP($A284,祝日!$A:$C,3,FALSE)
  ),
  ""
)</f>
        <v/>
      </c>
    </row>
    <row r="285" spans="1:4" ht="15.75" x14ac:dyDescent="0.25">
      <c r="A285" s="35">
        <v>44114</v>
      </c>
      <c r="B285" s="60">
        <f t="shared" si="4"/>
        <v>0</v>
      </c>
      <c r="C285" s="36" t="str">
        <f>IFERROR(
  IF(
    VLOOKUP($A285,祝日!$A:$C,2,FALSE)="",
    "",
    VLOOKUP($A285,祝日!$A:$C,2,FALSE)
  ),
  ""
)</f>
        <v/>
      </c>
      <c r="D285" s="36" t="str">
        <f>IFERROR(
  IF(
    VLOOKUP($A285,祝日!$A:$C,3,FALSE)="",
    "",
    VLOOKUP($A285,祝日!$A:$C,3,FALSE)
  ),
  ""
)</f>
        <v/>
      </c>
    </row>
    <row r="286" spans="1:4" ht="15.75" x14ac:dyDescent="0.25">
      <c r="A286" s="35">
        <v>44115</v>
      </c>
      <c r="B286" s="60">
        <f t="shared" si="4"/>
        <v>0</v>
      </c>
      <c r="C286" s="36" t="str">
        <f>IFERROR(
  IF(
    VLOOKUP($A286,祝日!$A:$C,2,FALSE)="",
    "",
    VLOOKUP($A286,祝日!$A:$C,2,FALSE)
  ),
  ""
)</f>
        <v/>
      </c>
      <c r="D286" s="36" t="str">
        <f>IFERROR(
  IF(
    VLOOKUP($A286,祝日!$A:$C,3,FALSE)="",
    "",
    VLOOKUP($A286,祝日!$A:$C,3,FALSE)
  ),
  ""
)</f>
        <v/>
      </c>
    </row>
    <row r="287" spans="1:4" ht="15.75" x14ac:dyDescent="0.25">
      <c r="A287" s="35">
        <v>44116</v>
      </c>
      <c r="B287" s="60">
        <f t="shared" si="4"/>
        <v>8</v>
      </c>
      <c r="C287" s="36" t="str">
        <f>IFERROR(
  IF(
    VLOOKUP($A287,祝日!$A:$C,2,FALSE)="",
    "",
    VLOOKUP($A287,祝日!$A:$C,2,FALSE)
  ),
  ""
)</f>
        <v/>
      </c>
      <c r="D287" s="36" t="str">
        <f>IFERROR(
  IF(
    VLOOKUP($A287,祝日!$A:$C,3,FALSE)="",
    "",
    VLOOKUP($A287,祝日!$A:$C,3,FALSE)
  ),
  ""
)</f>
        <v/>
      </c>
    </row>
    <row r="288" spans="1:4" ht="15.75" x14ac:dyDescent="0.25">
      <c r="A288" s="35">
        <v>44117</v>
      </c>
      <c r="B288" s="60">
        <f t="shared" si="4"/>
        <v>8</v>
      </c>
      <c r="C288" s="36" t="str">
        <f>IFERROR(
  IF(
    VLOOKUP($A288,祝日!$A:$C,2,FALSE)="",
    "",
    VLOOKUP($A288,祝日!$A:$C,2,FALSE)
  ),
  ""
)</f>
        <v/>
      </c>
      <c r="D288" s="36" t="str">
        <f>IFERROR(
  IF(
    VLOOKUP($A288,祝日!$A:$C,3,FALSE)="",
    "",
    VLOOKUP($A288,祝日!$A:$C,3,FALSE)
  ),
  ""
)</f>
        <v/>
      </c>
    </row>
    <row r="289" spans="1:4" ht="15.75" x14ac:dyDescent="0.25">
      <c r="A289" s="35">
        <v>44118</v>
      </c>
      <c r="B289" s="60">
        <f t="shared" si="4"/>
        <v>8</v>
      </c>
      <c r="C289" s="36" t="str">
        <f>IFERROR(
  IF(
    VLOOKUP($A289,祝日!$A:$C,2,FALSE)="",
    "",
    VLOOKUP($A289,祝日!$A:$C,2,FALSE)
  ),
  ""
)</f>
        <v/>
      </c>
      <c r="D289" s="36" t="str">
        <f>IFERROR(
  IF(
    VLOOKUP($A289,祝日!$A:$C,3,FALSE)="",
    "",
    VLOOKUP($A289,祝日!$A:$C,3,FALSE)
  ),
  ""
)</f>
        <v/>
      </c>
    </row>
    <row r="290" spans="1:4" ht="15.75" x14ac:dyDescent="0.25">
      <c r="A290" s="35">
        <v>44119</v>
      </c>
      <c r="B290" s="60">
        <f t="shared" si="4"/>
        <v>8</v>
      </c>
      <c r="C290" s="36" t="str">
        <f>IFERROR(
  IF(
    VLOOKUP($A290,祝日!$A:$C,2,FALSE)="",
    "",
    VLOOKUP($A290,祝日!$A:$C,2,FALSE)
  ),
  ""
)</f>
        <v/>
      </c>
      <c r="D290" s="36" t="str">
        <f>IFERROR(
  IF(
    VLOOKUP($A290,祝日!$A:$C,3,FALSE)="",
    "",
    VLOOKUP($A290,祝日!$A:$C,3,FALSE)
  ),
  ""
)</f>
        <v/>
      </c>
    </row>
    <row r="291" spans="1:4" ht="15.75" x14ac:dyDescent="0.25">
      <c r="A291" s="35">
        <v>44120</v>
      </c>
      <c r="B291" s="60">
        <f t="shared" si="4"/>
        <v>8</v>
      </c>
      <c r="C291" s="36" t="str">
        <f>IFERROR(
  IF(
    VLOOKUP($A291,祝日!$A:$C,2,FALSE)="",
    "",
    VLOOKUP($A291,祝日!$A:$C,2,FALSE)
  ),
  ""
)</f>
        <v/>
      </c>
      <c r="D291" s="36" t="str">
        <f>IFERROR(
  IF(
    VLOOKUP($A291,祝日!$A:$C,3,FALSE)="",
    "",
    VLOOKUP($A291,祝日!$A:$C,3,FALSE)
  ),
  ""
)</f>
        <v/>
      </c>
    </row>
    <row r="292" spans="1:4" ht="15.75" x14ac:dyDescent="0.25">
      <c r="A292" s="35">
        <v>44121</v>
      </c>
      <c r="B292" s="60">
        <f t="shared" si="4"/>
        <v>0</v>
      </c>
      <c r="C292" s="36" t="str">
        <f>IFERROR(
  IF(
    VLOOKUP($A292,祝日!$A:$C,2,FALSE)="",
    "",
    VLOOKUP($A292,祝日!$A:$C,2,FALSE)
  ),
  ""
)</f>
        <v/>
      </c>
      <c r="D292" s="36" t="str">
        <f>IFERROR(
  IF(
    VLOOKUP($A292,祝日!$A:$C,3,FALSE)="",
    "",
    VLOOKUP($A292,祝日!$A:$C,3,FALSE)
  ),
  ""
)</f>
        <v/>
      </c>
    </row>
    <row r="293" spans="1:4" ht="15.75" x14ac:dyDescent="0.25">
      <c r="A293" s="35">
        <v>44122</v>
      </c>
      <c r="B293" s="60">
        <f t="shared" si="4"/>
        <v>0</v>
      </c>
      <c r="C293" s="36" t="str">
        <f>IFERROR(
  IF(
    VLOOKUP($A293,祝日!$A:$C,2,FALSE)="",
    "",
    VLOOKUP($A293,祝日!$A:$C,2,FALSE)
  ),
  ""
)</f>
        <v/>
      </c>
      <c r="D293" s="36" t="str">
        <f>IFERROR(
  IF(
    VLOOKUP($A293,祝日!$A:$C,3,FALSE)="",
    "",
    VLOOKUP($A293,祝日!$A:$C,3,FALSE)
  ),
  ""
)</f>
        <v/>
      </c>
    </row>
    <row r="294" spans="1:4" ht="15.75" x14ac:dyDescent="0.25">
      <c r="A294" s="35">
        <v>44123</v>
      </c>
      <c r="B294" s="60">
        <f t="shared" si="4"/>
        <v>8</v>
      </c>
      <c r="C294" s="36" t="str">
        <f>IFERROR(
  IF(
    VLOOKUP($A294,祝日!$A:$C,2,FALSE)="",
    "",
    VLOOKUP($A294,祝日!$A:$C,2,FALSE)
  ),
  ""
)</f>
        <v/>
      </c>
      <c r="D294" s="36" t="str">
        <f>IFERROR(
  IF(
    VLOOKUP($A294,祝日!$A:$C,3,FALSE)="",
    "",
    VLOOKUP($A294,祝日!$A:$C,3,FALSE)
  ),
  ""
)</f>
        <v/>
      </c>
    </row>
    <row r="295" spans="1:4" ht="15.75" x14ac:dyDescent="0.25">
      <c r="A295" s="35">
        <v>44124</v>
      </c>
      <c r="B295" s="60">
        <f t="shared" si="4"/>
        <v>8</v>
      </c>
      <c r="C295" s="36" t="str">
        <f>IFERROR(
  IF(
    VLOOKUP($A295,祝日!$A:$C,2,FALSE)="",
    "",
    VLOOKUP($A295,祝日!$A:$C,2,FALSE)
  ),
  ""
)</f>
        <v/>
      </c>
      <c r="D295" s="36" t="str">
        <f>IFERROR(
  IF(
    VLOOKUP($A295,祝日!$A:$C,3,FALSE)="",
    "",
    VLOOKUP($A295,祝日!$A:$C,3,FALSE)
  ),
  ""
)</f>
        <v/>
      </c>
    </row>
    <row r="296" spans="1:4" ht="15.75" x14ac:dyDescent="0.25">
      <c r="A296" s="35">
        <v>44125</v>
      </c>
      <c r="B296" s="60">
        <f t="shared" si="4"/>
        <v>8</v>
      </c>
      <c r="C296" s="36" t="str">
        <f>IFERROR(
  IF(
    VLOOKUP($A296,祝日!$A:$C,2,FALSE)="",
    "",
    VLOOKUP($A296,祝日!$A:$C,2,FALSE)
  ),
  ""
)</f>
        <v/>
      </c>
      <c r="D296" s="36" t="str">
        <f>IFERROR(
  IF(
    VLOOKUP($A296,祝日!$A:$C,3,FALSE)="",
    "",
    VLOOKUP($A296,祝日!$A:$C,3,FALSE)
  ),
  ""
)</f>
        <v/>
      </c>
    </row>
    <row r="297" spans="1:4" ht="15.75" x14ac:dyDescent="0.25">
      <c r="A297" s="35">
        <v>44126</v>
      </c>
      <c r="B297" s="60">
        <f t="shared" si="4"/>
        <v>8</v>
      </c>
      <c r="C297" s="36" t="str">
        <f>IFERROR(
  IF(
    VLOOKUP($A297,祝日!$A:$C,2,FALSE)="",
    "",
    VLOOKUP($A297,祝日!$A:$C,2,FALSE)
  ),
  ""
)</f>
        <v/>
      </c>
      <c r="D297" s="36" t="str">
        <f>IFERROR(
  IF(
    VLOOKUP($A297,祝日!$A:$C,3,FALSE)="",
    "",
    VLOOKUP($A297,祝日!$A:$C,3,FALSE)
  ),
  ""
)</f>
        <v/>
      </c>
    </row>
    <row r="298" spans="1:4" ht="15.75" x14ac:dyDescent="0.25">
      <c r="A298" s="35">
        <v>44127</v>
      </c>
      <c r="B298" s="60">
        <f t="shared" si="4"/>
        <v>8</v>
      </c>
      <c r="C298" s="36" t="str">
        <f>IFERROR(
  IF(
    VLOOKUP($A298,祝日!$A:$C,2,FALSE)="",
    "",
    VLOOKUP($A298,祝日!$A:$C,2,FALSE)
  ),
  ""
)</f>
        <v/>
      </c>
      <c r="D298" s="36" t="str">
        <f>IFERROR(
  IF(
    VLOOKUP($A298,祝日!$A:$C,3,FALSE)="",
    "",
    VLOOKUP($A298,祝日!$A:$C,3,FALSE)
  ),
  ""
)</f>
        <v/>
      </c>
    </row>
    <row r="299" spans="1:4" ht="15.75" x14ac:dyDescent="0.25">
      <c r="A299" s="35">
        <v>44128</v>
      </c>
      <c r="B299" s="60">
        <f t="shared" si="4"/>
        <v>0</v>
      </c>
      <c r="C299" s="36" t="str">
        <f>IFERROR(
  IF(
    VLOOKUP($A299,祝日!$A:$C,2,FALSE)="",
    "",
    VLOOKUP($A299,祝日!$A:$C,2,FALSE)
  ),
  ""
)</f>
        <v/>
      </c>
      <c r="D299" s="36" t="str">
        <f>IFERROR(
  IF(
    VLOOKUP($A299,祝日!$A:$C,3,FALSE)="",
    "",
    VLOOKUP($A299,祝日!$A:$C,3,FALSE)
  ),
  ""
)</f>
        <v/>
      </c>
    </row>
    <row r="300" spans="1:4" ht="15.75" x14ac:dyDescent="0.25">
      <c r="A300" s="35">
        <v>44129</v>
      </c>
      <c r="B300" s="60">
        <f t="shared" si="4"/>
        <v>0</v>
      </c>
      <c r="C300" s="36" t="str">
        <f>IFERROR(
  IF(
    VLOOKUP($A300,祝日!$A:$C,2,FALSE)="",
    "",
    VLOOKUP($A300,祝日!$A:$C,2,FALSE)
  ),
  ""
)</f>
        <v/>
      </c>
      <c r="D300" s="36" t="str">
        <f>IFERROR(
  IF(
    VLOOKUP($A300,祝日!$A:$C,3,FALSE)="",
    "",
    VLOOKUP($A300,祝日!$A:$C,3,FALSE)
  ),
  ""
)</f>
        <v/>
      </c>
    </row>
    <row r="301" spans="1:4" ht="15.75" x14ac:dyDescent="0.25">
      <c r="A301" s="35">
        <v>44130</v>
      </c>
      <c r="B301" s="60">
        <f t="shared" si="4"/>
        <v>8</v>
      </c>
      <c r="C301" s="36" t="str">
        <f>IFERROR(
  IF(
    VLOOKUP($A301,祝日!$A:$C,2,FALSE)="",
    "",
    VLOOKUP($A301,祝日!$A:$C,2,FALSE)
  ),
  ""
)</f>
        <v/>
      </c>
      <c r="D301" s="36" t="str">
        <f>IFERROR(
  IF(
    VLOOKUP($A301,祝日!$A:$C,3,FALSE)="",
    "",
    VLOOKUP($A301,祝日!$A:$C,3,FALSE)
  ),
  ""
)</f>
        <v/>
      </c>
    </row>
    <row r="302" spans="1:4" ht="15.75" x14ac:dyDescent="0.25">
      <c r="A302" s="35">
        <v>44131</v>
      </c>
      <c r="B302" s="60">
        <f t="shared" si="4"/>
        <v>8</v>
      </c>
      <c r="C302" s="36" t="str">
        <f>IFERROR(
  IF(
    VLOOKUP($A302,祝日!$A:$C,2,FALSE)="",
    "",
    VLOOKUP($A302,祝日!$A:$C,2,FALSE)
  ),
  ""
)</f>
        <v/>
      </c>
      <c r="D302" s="36" t="str">
        <f>IFERROR(
  IF(
    VLOOKUP($A302,祝日!$A:$C,3,FALSE)="",
    "",
    VLOOKUP($A302,祝日!$A:$C,3,FALSE)
  ),
  ""
)</f>
        <v/>
      </c>
    </row>
    <row r="303" spans="1:4" ht="15.75" x14ac:dyDescent="0.25">
      <c r="A303" s="35">
        <v>44132</v>
      </c>
      <c r="B303" s="60">
        <f t="shared" si="4"/>
        <v>8</v>
      </c>
      <c r="C303" s="36" t="str">
        <f>IFERROR(
  IF(
    VLOOKUP($A303,祝日!$A:$C,2,FALSE)="",
    "",
    VLOOKUP($A303,祝日!$A:$C,2,FALSE)
  ),
  ""
)</f>
        <v/>
      </c>
      <c r="D303" s="36" t="str">
        <f>IFERROR(
  IF(
    VLOOKUP($A303,祝日!$A:$C,3,FALSE)="",
    "",
    VLOOKUP($A303,祝日!$A:$C,3,FALSE)
  ),
  ""
)</f>
        <v/>
      </c>
    </row>
    <row r="304" spans="1:4" ht="15.75" x14ac:dyDescent="0.25">
      <c r="A304" s="35">
        <v>44133</v>
      </c>
      <c r="B304" s="60">
        <f t="shared" si="4"/>
        <v>8</v>
      </c>
      <c r="C304" s="36" t="str">
        <f>IFERROR(
  IF(
    VLOOKUP($A304,祝日!$A:$C,2,FALSE)="",
    "",
    VLOOKUP($A304,祝日!$A:$C,2,FALSE)
  ),
  ""
)</f>
        <v/>
      </c>
      <c r="D304" s="36" t="str">
        <f>IFERROR(
  IF(
    VLOOKUP($A304,祝日!$A:$C,3,FALSE)="",
    "",
    VLOOKUP($A304,祝日!$A:$C,3,FALSE)
  ),
  ""
)</f>
        <v/>
      </c>
    </row>
    <row r="305" spans="1:4" ht="15.75" x14ac:dyDescent="0.25">
      <c r="A305" s="35">
        <v>44134</v>
      </c>
      <c r="B305" s="60">
        <f t="shared" si="4"/>
        <v>8</v>
      </c>
      <c r="C305" s="36" t="str">
        <f>IFERROR(
  IF(
    VLOOKUP($A305,祝日!$A:$C,2,FALSE)="",
    "",
    VLOOKUP($A305,祝日!$A:$C,2,FALSE)
  ),
  ""
)</f>
        <v/>
      </c>
      <c r="D305" s="36" t="str">
        <f>IFERROR(
  IF(
    VLOOKUP($A305,祝日!$A:$C,3,FALSE)="",
    "",
    VLOOKUP($A305,祝日!$A:$C,3,FALSE)
  ),
  ""
)</f>
        <v/>
      </c>
    </row>
    <row r="306" spans="1:4" ht="15.75" x14ac:dyDescent="0.25">
      <c r="A306" s="35">
        <v>44135</v>
      </c>
      <c r="B306" s="60">
        <f t="shared" si="4"/>
        <v>0</v>
      </c>
      <c r="C306" s="36" t="str">
        <f>IFERROR(
  IF(
    VLOOKUP($A306,祝日!$A:$C,2,FALSE)="",
    "",
    VLOOKUP($A306,祝日!$A:$C,2,FALSE)
  ),
  ""
)</f>
        <v/>
      </c>
      <c r="D306" s="36" t="str">
        <f>IFERROR(
  IF(
    VLOOKUP($A306,祝日!$A:$C,3,FALSE)="",
    "",
    VLOOKUP($A306,祝日!$A:$C,3,FALSE)
  ),
  ""
)</f>
        <v/>
      </c>
    </row>
    <row r="307" spans="1:4" ht="15.75" x14ac:dyDescent="0.25">
      <c r="A307" s="35">
        <v>44136</v>
      </c>
      <c r="B307" s="60">
        <f t="shared" si="4"/>
        <v>0</v>
      </c>
      <c r="C307" s="36" t="str">
        <f>IFERROR(
  IF(
    VLOOKUP($A307,祝日!$A:$C,2,FALSE)="",
    "",
    VLOOKUP($A307,祝日!$A:$C,2,FALSE)
  ),
  ""
)</f>
        <v/>
      </c>
      <c r="D307" s="36" t="str">
        <f>IFERROR(
  IF(
    VLOOKUP($A307,祝日!$A:$C,3,FALSE)="",
    "",
    VLOOKUP($A307,祝日!$A:$C,3,FALSE)
  ),
  ""
)</f>
        <v/>
      </c>
    </row>
    <row r="308" spans="1:4" ht="15.75" x14ac:dyDescent="0.25">
      <c r="A308" s="35">
        <v>44137</v>
      </c>
      <c r="B308" s="60">
        <f t="shared" si="4"/>
        <v>8</v>
      </c>
      <c r="C308" s="36" t="str">
        <f>IFERROR(
  IF(
    VLOOKUP($A308,祝日!$A:$C,2,FALSE)="",
    "",
    VLOOKUP($A308,祝日!$A:$C,2,FALSE)
  ),
  ""
)</f>
        <v/>
      </c>
      <c r="D308" s="36" t="str">
        <f>IFERROR(
  IF(
    VLOOKUP($A308,祝日!$A:$C,3,FALSE)="",
    "",
    VLOOKUP($A308,祝日!$A:$C,3,FALSE)
  ),
  ""
)</f>
        <v/>
      </c>
    </row>
    <row r="309" spans="1:4" ht="15.75" x14ac:dyDescent="0.25">
      <c r="A309" s="35">
        <v>44138</v>
      </c>
      <c r="B309" s="60">
        <f t="shared" si="4"/>
        <v>8</v>
      </c>
      <c r="C309" s="36" t="str">
        <f>IFERROR(
  IF(
    VLOOKUP($A309,祝日!$A:$C,2,FALSE)="",
    "",
    VLOOKUP($A309,祝日!$A:$C,2,FALSE)
  ),
  ""
)</f>
        <v xml:space="preserve">文化の日 </v>
      </c>
      <c r="D309" s="36" t="str">
        <f>IFERROR(
  IF(
    VLOOKUP($A309,祝日!$A:$C,3,FALSE)="",
    "",
    VLOOKUP($A309,祝日!$A:$C,3,FALSE)
  ),
  ""
)</f>
        <v/>
      </c>
    </row>
    <row r="310" spans="1:4" ht="15.75" x14ac:dyDescent="0.25">
      <c r="A310" s="35">
        <v>44139</v>
      </c>
      <c r="B310" s="60">
        <f t="shared" si="4"/>
        <v>8</v>
      </c>
      <c r="C310" s="36" t="str">
        <f>IFERROR(
  IF(
    VLOOKUP($A310,祝日!$A:$C,2,FALSE)="",
    "",
    VLOOKUP($A310,祝日!$A:$C,2,FALSE)
  ),
  ""
)</f>
        <v/>
      </c>
      <c r="D310" s="36" t="str">
        <f>IFERROR(
  IF(
    VLOOKUP($A310,祝日!$A:$C,3,FALSE)="",
    "",
    VLOOKUP($A310,祝日!$A:$C,3,FALSE)
  ),
  ""
)</f>
        <v/>
      </c>
    </row>
    <row r="311" spans="1:4" ht="15.75" x14ac:dyDescent="0.25">
      <c r="A311" s="35">
        <v>44140</v>
      </c>
      <c r="B311" s="60">
        <f t="shared" si="4"/>
        <v>8</v>
      </c>
      <c r="C311" s="36" t="str">
        <f>IFERROR(
  IF(
    VLOOKUP($A311,祝日!$A:$C,2,FALSE)="",
    "",
    VLOOKUP($A311,祝日!$A:$C,2,FALSE)
  ),
  ""
)</f>
        <v/>
      </c>
      <c r="D311" s="36" t="str">
        <f>IFERROR(
  IF(
    VLOOKUP($A311,祝日!$A:$C,3,FALSE)="",
    "",
    VLOOKUP($A311,祝日!$A:$C,3,FALSE)
  ),
  ""
)</f>
        <v/>
      </c>
    </row>
    <row r="312" spans="1:4" ht="15.75" x14ac:dyDescent="0.25">
      <c r="A312" s="35">
        <v>44141</v>
      </c>
      <c r="B312" s="60">
        <f t="shared" si="4"/>
        <v>8</v>
      </c>
      <c r="C312" s="36" t="str">
        <f>IFERROR(
  IF(
    VLOOKUP($A312,祝日!$A:$C,2,FALSE)="",
    "",
    VLOOKUP($A312,祝日!$A:$C,2,FALSE)
  ),
  ""
)</f>
        <v/>
      </c>
      <c r="D312" s="36" t="str">
        <f>IFERROR(
  IF(
    VLOOKUP($A312,祝日!$A:$C,3,FALSE)="",
    "",
    VLOOKUP($A312,祝日!$A:$C,3,FALSE)
  ),
  ""
)</f>
        <v/>
      </c>
    </row>
    <row r="313" spans="1:4" ht="15.75" x14ac:dyDescent="0.25">
      <c r="A313" s="35">
        <v>44142</v>
      </c>
      <c r="B313" s="60">
        <f t="shared" si="4"/>
        <v>0</v>
      </c>
      <c r="C313" s="36" t="str">
        <f>IFERROR(
  IF(
    VLOOKUP($A313,祝日!$A:$C,2,FALSE)="",
    "",
    VLOOKUP($A313,祝日!$A:$C,2,FALSE)
  ),
  ""
)</f>
        <v/>
      </c>
      <c r="D313" s="36" t="str">
        <f>IFERROR(
  IF(
    VLOOKUP($A313,祝日!$A:$C,3,FALSE)="",
    "",
    VLOOKUP($A313,祝日!$A:$C,3,FALSE)
  ),
  ""
)</f>
        <v/>
      </c>
    </row>
    <row r="314" spans="1:4" ht="15.75" x14ac:dyDescent="0.25">
      <c r="A314" s="35">
        <v>44143</v>
      </c>
      <c r="B314" s="60">
        <f t="shared" si="4"/>
        <v>0</v>
      </c>
      <c r="C314" s="36" t="str">
        <f>IFERROR(
  IF(
    VLOOKUP($A314,祝日!$A:$C,2,FALSE)="",
    "",
    VLOOKUP($A314,祝日!$A:$C,2,FALSE)
  ),
  ""
)</f>
        <v/>
      </c>
      <c r="D314" s="36" t="str">
        <f>IFERROR(
  IF(
    VLOOKUP($A314,祝日!$A:$C,3,FALSE)="",
    "",
    VLOOKUP($A314,祝日!$A:$C,3,FALSE)
  ),
  ""
)</f>
        <v/>
      </c>
    </row>
    <row r="315" spans="1:4" ht="15.75" x14ac:dyDescent="0.25">
      <c r="A315" s="35">
        <v>44144</v>
      </c>
      <c r="B315" s="60">
        <f t="shared" si="4"/>
        <v>8</v>
      </c>
      <c r="C315" s="36" t="str">
        <f>IFERROR(
  IF(
    VLOOKUP($A315,祝日!$A:$C,2,FALSE)="",
    "",
    VLOOKUP($A315,祝日!$A:$C,2,FALSE)
  ),
  ""
)</f>
        <v/>
      </c>
      <c r="D315" s="36" t="str">
        <f>IFERROR(
  IF(
    VLOOKUP($A315,祝日!$A:$C,3,FALSE)="",
    "",
    VLOOKUP($A315,祝日!$A:$C,3,FALSE)
  ),
  ""
)</f>
        <v/>
      </c>
    </row>
    <row r="316" spans="1:4" ht="15.75" x14ac:dyDescent="0.25">
      <c r="A316" s="35">
        <v>44145</v>
      </c>
      <c r="B316" s="60">
        <f t="shared" si="4"/>
        <v>8</v>
      </c>
      <c r="C316" s="36" t="str">
        <f>IFERROR(
  IF(
    VLOOKUP($A316,祝日!$A:$C,2,FALSE)="",
    "",
    VLOOKUP($A316,祝日!$A:$C,2,FALSE)
  ),
  ""
)</f>
        <v/>
      </c>
      <c r="D316" s="36" t="str">
        <f>IFERROR(
  IF(
    VLOOKUP($A316,祝日!$A:$C,3,FALSE)="",
    "",
    VLOOKUP($A316,祝日!$A:$C,3,FALSE)
  ),
  ""
)</f>
        <v/>
      </c>
    </row>
    <row r="317" spans="1:4" ht="15.75" x14ac:dyDescent="0.25">
      <c r="A317" s="35">
        <v>44146</v>
      </c>
      <c r="B317" s="60">
        <f t="shared" si="4"/>
        <v>8</v>
      </c>
      <c r="C317" s="36" t="str">
        <f>IFERROR(
  IF(
    VLOOKUP($A317,祝日!$A:$C,2,FALSE)="",
    "",
    VLOOKUP($A317,祝日!$A:$C,2,FALSE)
  ),
  ""
)</f>
        <v/>
      </c>
      <c r="D317" s="36" t="str">
        <f>IFERROR(
  IF(
    VLOOKUP($A317,祝日!$A:$C,3,FALSE)="",
    "",
    VLOOKUP($A317,祝日!$A:$C,3,FALSE)
  ),
  ""
)</f>
        <v/>
      </c>
    </row>
    <row r="318" spans="1:4" ht="15.75" x14ac:dyDescent="0.25">
      <c r="A318" s="35">
        <v>44147</v>
      </c>
      <c r="B318" s="60">
        <f t="shared" si="4"/>
        <v>8</v>
      </c>
      <c r="C318" s="36" t="str">
        <f>IFERROR(
  IF(
    VLOOKUP($A318,祝日!$A:$C,2,FALSE)="",
    "",
    VLOOKUP($A318,祝日!$A:$C,2,FALSE)
  ),
  ""
)</f>
        <v/>
      </c>
      <c r="D318" s="36" t="str">
        <f>IFERROR(
  IF(
    VLOOKUP($A318,祝日!$A:$C,3,FALSE)="",
    "",
    VLOOKUP($A318,祝日!$A:$C,3,FALSE)
  ),
  ""
)</f>
        <v/>
      </c>
    </row>
    <row r="319" spans="1:4" ht="15.75" x14ac:dyDescent="0.25">
      <c r="A319" s="35">
        <v>44148</v>
      </c>
      <c r="B319" s="60">
        <f t="shared" si="4"/>
        <v>8</v>
      </c>
      <c r="C319" s="36" t="str">
        <f>IFERROR(
  IF(
    VLOOKUP($A319,祝日!$A:$C,2,FALSE)="",
    "",
    VLOOKUP($A319,祝日!$A:$C,2,FALSE)
  ),
  ""
)</f>
        <v/>
      </c>
      <c r="D319" s="36" t="str">
        <f>IFERROR(
  IF(
    VLOOKUP($A319,祝日!$A:$C,3,FALSE)="",
    "",
    VLOOKUP($A319,祝日!$A:$C,3,FALSE)
  ),
  ""
)</f>
        <v/>
      </c>
    </row>
    <row r="320" spans="1:4" ht="15.75" x14ac:dyDescent="0.25">
      <c r="A320" s="35">
        <v>44149</v>
      </c>
      <c r="B320" s="60">
        <f t="shared" si="4"/>
        <v>0</v>
      </c>
      <c r="C320" s="36" t="str">
        <f>IFERROR(
  IF(
    VLOOKUP($A320,祝日!$A:$C,2,FALSE)="",
    "",
    VLOOKUP($A320,祝日!$A:$C,2,FALSE)
  ),
  ""
)</f>
        <v/>
      </c>
      <c r="D320" s="36" t="str">
        <f>IFERROR(
  IF(
    VLOOKUP($A320,祝日!$A:$C,3,FALSE)="",
    "",
    VLOOKUP($A320,祝日!$A:$C,3,FALSE)
  ),
  ""
)</f>
        <v/>
      </c>
    </row>
    <row r="321" spans="1:4" ht="15.75" x14ac:dyDescent="0.25">
      <c r="A321" s="35">
        <v>44150</v>
      </c>
      <c r="B321" s="60">
        <f t="shared" si="4"/>
        <v>0</v>
      </c>
      <c r="C321" s="36" t="str">
        <f>IFERROR(
  IF(
    VLOOKUP($A321,祝日!$A:$C,2,FALSE)="",
    "",
    VLOOKUP($A321,祝日!$A:$C,2,FALSE)
  ),
  ""
)</f>
        <v/>
      </c>
      <c r="D321" s="36" t="str">
        <f>IFERROR(
  IF(
    VLOOKUP($A321,祝日!$A:$C,3,FALSE)="",
    "",
    VLOOKUP($A321,祝日!$A:$C,3,FALSE)
  ),
  ""
)</f>
        <v/>
      </c>
    </row>
    <row r="322" spans="1:4" ht="15.75" x14ac:dyDescent="0.25">
      <c r="A322" s="35">
        <v>44151</v>
      </c>
      <c r="B322" s="60">
        <f t="shared" si="4"/>
        <v>8</v>
      </c>
      <c r="C322" s="36" t="str">
        <f>IFERROR(
  IF(
    VLOOKUP($A322,祝日!$A:$C,2,FALSE)="",
    "",
    VLOOKUP($A322,祝日!$A:$C,2,FALSE)
  ),
  ""
)</f>
        <v/>
      </c>
      <c r="D322" s="36" t="str">
        <f>IFERROR(
  IF(
    VLOOKUP($A322,祝日!$A:$C,3,FALSE)="",
    "",
    VLOOKUP($A322,祝日!$A:$C,3,FALSE)
  ),
  ""
)</f>
        <v/>
      </c>
    </row>
    <row r="323" spans="1:4" ht="15.75" x14ac:dyDescent="0.25">
      <c r="A323" s="35">
        <v>44152</v>
      </c>
      <c r="B323" s="60">
        <f t="shared" ref="B323:B367" si="5">IF(OR(5&lt;WEEKDAY(A323,2)),0,8)</f>
        <v>8</v>
      </c>
      <c r="C323" s="36" t="str">
        <f>IFERROR(
  IF(
    VLOOKUP($A323,祝日!$A:$C,2,FALSE)="",
    "",
    VLOOKUP($A323,祝日!$A:$C,2,FALSE)
  ),
  ""
)</f>
        <v/>
      </c>
      <c r="D323" s="36" t="str">
        <f>IFERROR(
  IF(
    VLOOKUP($A323,祝日!$A:$C,3,FALSE)="",
    "",
    VLOOKUP($A323,祝日!$A:$C,3,FALSE)
  ),
  ""
)</f>
        <v/>
      </c>
    </row>
    <row r="324" spans="1:4" ht="15.75" x14ac:dyDescent="0.25">
      <c r="A324" s="35">
        <v>44153</v>
      </c>
      <c r="B324" s="60">
        <f t="shared" si="5"/>
        <v>8</v>
      </c>
      <c r="C324" s="36" t="str">
        <f>IFERROR(
  IF(
    VLOOKUP($A324,祝日!$A:$C,2,FALSE)="",
    "",
    VLOOKUP($A324,祝日!$A:$C,2,FALSE)
  ),
  ""
)</f>
        <v/>
      </c>
      <c r="D324" s="36" t="str">
        <f>IFERROR(
  IF(
    VLOOKUP($A324,祝日!$A:$C,3,FALSE)="",
    "",
    VLOOKUP($A324,祝日!$A:$C,3,FALSE)
  ),
  ""
)</f>
        <v/>
      </c>
    </row>
    <row r="325" spans="1:4" ht="15.75" x14ac:dyDescent="0.25">
      <c r="A325" s="35">
        <v>44154</v>
      </c>
      <c r="B325" s="60">
        <f t="shared" si="5"/>
        <v>8</v>
      </c>
      <c r="C325" s="36" t="str">
        <f>IFERROR(
  IF(
    VLOOKUP($A325,祝日!$A:$C,2,FALSE)="",
    "",
    VLOOKUP($A325,祝日!$A:$C,2,FALSE)
  ),
  ""
)</f>
        <v/>
      </c>
      <c r="D325" s="36" t="str">
        <f>IFERROR(
  IF(
    VLOOKUP($A325,祝日!$A:$C,3,FALSE)="",
    "",
    VLOOKUP($A325,祝日!$A:$C,3,FALSE)
  ),
  ""
)</f>
        <v/>
      </c>
    </row>
    <row r="326" spans="1:4" ht="15.75" x14ac:dyDescent="0.25">
      <c r="A326" s="35">
        <v>44155</v>
      </c>
      <c r="B326" s="60">
        <f t="shared" si="5"/>
        <v>8</v>
      </c>
      <c r="C326" s="36" t="str">
        <f>IFERROR(
  IF(
    VLOOKUP($A326,祝日!$A:$C,2,FALSE)="",
    "",
    VLOOKUP($A326,祝日!$A:$C,2,FALSE)
  ),
  ""
)</f>
        <v/>
      </c>
      <c r="D326" s="36" t="str">
        <f>IFERROR(
  IF(
    VLOOKUP($A326,祝日!$A:$C,3,FALSE)="",
    "",
    VLOOKUP($A326,祝日!$A:$C,3,FALSE)
  ),
  ""
)</f>
        <v/>
      </c>
    </row>
    <row r="327" spans="1:4" ht="15.75" x14ac:dyDescent="0.25">
      <c r="A327" s="35">
        <v>44156</v>
      </c>
      <c r="B327" s="60">
        <f t="shared" si="5"/>
        <v>0</v>
      </c>
      <c r="C327" s="36" t="str">
        <f>IFERROR(
  IF(
    VLOOKUP($A327,祝日!$A:$C,2,FALSE)="",
    "",
    VLOOKUP($A327,祝日!$A:$C,2,FALSE)
  ),
  ""
)</f>
        <v/>
      </c>
      <c r="D327" s="36" t="str">
        <f>IFERROR(
  IF(
    VLOOKUP($A327,祝日!$A:$C,3,FALSE)="",
    "",
    VLOOKUP($A327,祝日!$A:$C,3,FALSE)
  ),
  ""
)</f>
        <v/>
      </c>
    </row>
    <row r="328" spans="1:4" ht="15.75" x14ac:dyDescent="0.25">
      <c r="A328" s="35">
        <v>44157</v>
      </c>
      <c r="B328" s="60">
        <f t="shared" si="5"/>
        <v>0</v>
      </c>
      <c r="C328" s="36" t="str">
        <f>IFERROR(
  IF(
    VLOOKUP($A328,祝日!$A:$C,2,FALSE)="",
    "",
    VLOOKUP($A328,祝日!$A:$C,2,FALSE)
  ),
  ""
)</f>
        <v/>
      </c>
      <c r="D328" s="36" t="str">
        <f>IFERROR(
  IF(
    VLOOKUP($A328,祝日!$A:$C,3,FALSE)="",
    "",
    VLOOKUP($A328,祝日!$A:$C,3,FALSE)
  ),
  ""
)</f>
        <v/>
      </c>
    </row>
    <row r="329" spans="1:4" ht="15.75" x14ac:dyDescent="0.25">
      <c r="A329" s="35">
        <v>44158</v>
      </c>
      <c r="B329" s="60">
        <f t="shared" si="5"/>
        <v>8</v>
      </c>
      <c r="C329" s="36" t="str">
        <f>IFERROR(
  IF(
    VLOOKUP($A329,祝日!$A:$C,2,FALSE)="",
    "",
    VLOOKUP($A329,祝日!$A:$C,2,FALSE)
  ),
  ""
)</f>
        <v xml:space="preserve">勤労感謝の日 </v>
      </c>
      <c r="D329" s="36" t="str">
        <f>IFERROR(
  IF(
    VLOOKUP($A329,祝日!$A:$C,3,FALSE)="",
    "",
    VLOOKUP($A329,祝日!$A:$C,3,FALSE)
  ),
  ""
)</f>
        <v/>
      </c>
    </row>
    <row r="330" spans="1:4" ht="15.75" x14ac:dyDescent="0.25">
      <c r="A330" s="35">
        <v>44159</v>
      </c>
      <c r="B330" s="60">
        <f t="shared" si="5"/>
        <v>8</v>
      </c>
      <c r="C330" s="36" t="str">
        <f>IFERROR(
  IF(
    VLOOKUP($A330,祝日!$A:$C,2,FALSE)="",
    "",
    VLOOKUP($A330,祝日!$A:$C,2,FALSE)
  ),
  ""
)</f>
        <v/>
      </c>
      <c r="D330" s="36" t="str">
        <f>IFERROR(
  IF(
    VLOOKUP($A330,祝日!$A:$C,3,FALSE)="",
    "",
    VLOOKUP($A330,祝日!$A:$C,3,FALSE)
  ),
  ""
)</f>
        <v/>
      </c>
    </row>
    <row r="331" spans="1:4" ht="15.75" x14ac:dyDescent="0.25">
      <c r="A331" s="35">
        <v>44160</v>
      </c>
      <c r="B331" s="60">
        <f t="shared" si="5"/>
        <v>8</v>
      </c>
      <c r="C331" s="36" t="str">
        <f>IFERROR(
  IF(
    VLOOKUP($A331,祝日!$A:$C,2,FALSE)="",
    "",
    VLOOKUP($A331,祝日!$A:$C,2,FALSE)
  ),
  ""
)</f>
        <v/>
      </c>
      <c r="D331" s="36" t="str">
        <f>IFERROR(
  IF(
    VLOOKUP($A331,祝日!$A:$C,3,FALSE)="",
    "",
    VLOOKUP($A331,祝日!$A:$C,3,FALSE)
  ),
  ""
)</f>
        <v/>
      </c>
    </row>
    <row r="332" spans="1:4" ht="15.75" x14ac:dyDescent="0.25">
      <c r="A332" s="35">
        <v>44161</v>
      </c>
      <c r="B332" s="60">
        <f t="shared" si="5"/>
        <v>8</v>
      </c>
      <c r="C332" s="36" t="str">
        <f>IFERROR(
  IF(
    VLOOKUP($A332,祝日!$A:$C,2,FALSE)="",
    "",
    VLOOKUP($A332,祝日!$A:$C,2,FALSE)
  ),
  ""
)</f>
        <v/>
      </c>
      <c r="D332" s="36" t="str">
        <f>IFERROR(
  IF(
    VLOOKUP($A332,祝日!$A:$C,3,FALSE)="",
    "",
    VLOOKUP($A332,祝日!$A:$C,3,FALSE)
  ),
  ""
)</f>
        <v/>
      </c>
    </row>
    <row r="333" spans="1:4" ht="15.75" x14ac:dyDescent="0.25">
      <c r="A333" s="35">
        <v>44162</v>
      </c>
      <c r="B333" s="60">
        <f t="shared" si="5"/>
        <v>8</v>
      </c>
      <c r="C333" s="36" t="str">
        <f>IFERROR(
  IF(
    VLOOKUP($A333,祝日!$A:$C,2,FALSE)="",
    "",
    VLOOKUP($A333,祝日!$A:$C,2,FALSE)
  ),
  ""
)</f>
        <v/>
      </c>
      <c r="D333" s="36" t="str">
        <f>IFERROR(
  IF(
    VLOOKUP($A333,祝日!$A:$C,3,FALSE)="",
    "",
    VLOOKUP($A333,祝日!$A:$C,3,FALSE)
  ),
  ""
)</f>
        <v/>
      </c>
    </row>
    <row r="334" spans="1:4" ht="15.75" x14ac:dyDescent="0.25">
      <c r="A334" s="35">
        <v>44163</v>
      </c>
      <c r="B334" s="60">
        <f t="shared" si="5"/>
        <v>0</v>
      </c>
      <c r="C334" s="36" t="str">
        <f>IFERROR(
  IF(
    VLOOKUP($A334,祝日!$A:$C,2,FALSE)="",
    "",
    VLOOKUP($A334,祝日!$A:$C,2,FALSE)
  ),
  ""
)</f>
        <v/>
      </c>
      <c r="D334" s="36" t="str">
        <f>IFERROR(
  IF(
    VLOOKUP($A334,祝日!$A:$C,3,FALSE)="",
    "",
    VLOOKUP($A334,祝日!$A:$C,3,FALSE)
  ),
  ""
)</f>
        <v/>
      </c>
    </row>
    <row r="335" spans="1:4" ht="15.75" x14ac:dyDescent="0.25">
      <c r="A335" s="35">
        <v>44164</v>
      </c>
      <c r="B335" s="60">
        <f t="shared" si="5"/>
        <v>0</v>
      </c>
      <c r="C335" s="36" t="str">
        <f>IFERROR(
  IF(
    VLOOKUP($A335,祝日!$A:$C,2,FALSE)="",
    "",
    VLOOKUP($A335,祝日!$A:$C,2,FALSE)
  ),
  ""
)</f>
        <v/>
      </c>
      <c r="D335" s="36" t="str">
        <f>IFERROR(
  IF(
    VLOOKUP($A335,祝日!$A:$C,3,FALSE)="",
    "",
    VLOOKUP($A335,祝日!$A:$C,3,FALSE)
  ),
  ""
)</f>
        <v/>
      </c>
    </row>
    <row r="336" spans="1:4" ht="15.75" x14ac:dyDescent="0.25">
      <c r="A336" s="35">
        <v>44165</v>
      </c>
      <c r="B336" s="60">
        <f t="shared" si="5"/>
        <v>8</v>
      </c>
      <c r="C336" s="36" t="str">
        <f>IFERROR(
  IF(
    VLOOKUP($A336,祝日!$A:$C,2,FALSE)="",
    "",
    VLOOKUP($A336,祝日!$A:$C,2,FALSE)
  ),
  ""
)</f>
        <v/>
      </c>
      <c r="D336" s="36" t="str">
        <f>IFERROR(
  IF(
    VLOOKUP($A336,祝日!$A:$C,3,FALSE)="",
    "",
    VLOOKUP($A336,祝日!$A:$C,3,FALSE)
  ),
  ""
)</f>
        <v/>
      </c>
    </row>
    <row r="337" spans="1:4" ht="15.75" x14ac:dyDescent="0.25">
      <c r="A337" s="35">
        <v>44166</v>
      </c>
      <c r="B337" s="60">
        <f t="shared" si="5"/>
        <v>8</v>
      </c>
      <c r="C337" s="36" t="str">
        <f>IFERROR(
  IF(
    VLOOKUP($A337,祝日!$A:$C,2,FALSE)="",
    "",
    VLOOKUP($A337,祝日!$A:$C,2,FALSE)
  ),
  ""
)</f>
        <v/>
      </c>
      <c r="D337" s="36" t="str">
        <f>IFERROR(
  IF(
    VLOOKUP($A337,祝日!$A:$C,3,FALSE)="",
    "",
    VLOOKUP($A337,祝日!$A:$C,3,FALSE)
  ),
  ""
)</f>
        <v/>
      </c>
    </row>
    <row r="338" spans="1:4" ht="15.75" x14ac:dyDescent="0.25">
      <c r="A338" s="35">
        <v>44167</v>
      </c>
      <c r="B338" s="60">
        <f t="shared" si="5"/>
        <v>8</v>
      </c>
      <c r="C338" s="36" t="str">
        <f>IFERROR(
  IF(
    VLOOKUP($A338,祝日!$A:$C,2,FALSE)="",
    "",
    VLOOKUP($A338,祝日!$A:$C,2,FALSE)
  ),
  ""
)</f>
        <v/>
      </c>
      <c r="D338" s="36" t="str">
        <f>IFERROR(
  IF(
    VLOOKUP($A338,祝日!$A:$C,3,FALSE)="",
    "",
    VLOOKUP($A338,祝日!$A:$C,3,FALSE)
  ),
  ""
)</f>
        <v/>
      </c>
    </row>
    <row r="339" spans="1:4" ht="15.75" x14ac:dyDescent="0.25">
      <c r="A339" s="35">
        <v>44168</v>
      </c>
      <c r="B339" s="60">
        <f t="shared" si="5"/>
        <v>8</v>
      </c>
      <c r="C339" s="36" t="str">
        <f>IFERROR(
  IF(
    VLOOKUP($A339,祝日!$A:$C,2,FALSE)="",
    "",
    VLOOKUP($A339,祝日!$A:$C,2,FALSE)
  ),
  ""
)</f>
        <v/>
      </c>
      <c r="D339" s="36" t="str">
        <f>IFERROR(
  IF(
    VLOOKUP($A339,祝日!$A:$C,3,FALSE)="",
    "",
    VLOOKUP($A339,祝日!$A:$C,3,FALSE)
  ),
  ""
)</f>
        <v/>
      </c>
    </row>
    <row r="340" spans="1:4" ht="15.75" x14ac:dyDescent="0.25">
      <c r="A340" s="35">
        <v>44169</v>
      </c>
      <c r="B340" s="60">
        <f t="shared" si="5"/>
        <v>8</v>
      </c>
      <c r="C340" s="36" t="str">
        <f>IFERROR(
  IF(
    VLOOKUP($A340,祝日!$A:$C,2,FALSE)="",
    "",
    VLOOKUP($A340,祝日!$A:$C,2,FALSE)
  ),
  ""
)</f>
        <v/>
      </c>
      <c r="D340" s="36" t="str">
        <f>IFERROR(
  IF(
    VLOOKUP($A340,祝日!$A:$C,3,FALSE)="",
    "",
    VLOOKUP($A340,祝日!$A:$C,3,FALSE)
  ),
  ""
)</f>
        <v/>
      </c>
    </row>
    <row r="341" spans="1:4" ht="15.75" x14ac:dyDescent="0.25">
      <c r="A341" s="35">
        <v>44170</v>
      </c>
      <c r="B341" s="60">
        <f t="shared" si="5"/>
        <v>0</v>
      </c>
      <c r="C341" s="36" t="str">
        <f>IFERROR(
  IF(
    VLOOKUP($A341,祝日!$A:$C,2,FALSE)="",
    "",
    VLOOKUP($A341,祝日!$A:$C,2,FALSE)
  ),
  ""
)</f>
        <v/>
      </c>
      <c r="D341" s="36" t="str">
        <f>IFERROR(
  IF(
    VLOOKUP($A341,祝日!$A:$C,3,FALSE)="",
    "",
    VLOOKUP($A341,祝日!$A:$C,3,FALSE)
  ),
  ""
)</f>
        <v/>
      </c>
    </row>
    <row r="342" spans="1:4" ht="15.75" x14ac:dyDescent="0.25">
      <c r="A342" s="35">
        <v>44171</v>
      </c>
      <c r="B342" s="60">
        <f t="shared" si="5"/>
        <v>0</v>
      </c>
      <c r="C342" s="36" t="str">
        <f>IFERROR(
  IF(
    VLOOKUP($A342,祝日!$A:$C,2,FALSE)="",
    "",
    VLOOKUP($A342,祝日!$A:$C,2,FALSE)
  ),
  ""
)</f>
        <v/>
      </c>
      <c r="D342" s="36" t="str">
        <f>IFERROR(
  IF(
    VLOOKUP($A342,祝日!$A:$C,3,FALSE)="",
    "",
    VLOOKUP($A342,祝日!$A:$C,3,FALSE)
  ),
  ""
)</f>
        <v/>
      </c>
    </row>
    <row r="343" spans="1:4" ht="15.75" x14ac:dyDescent="0.25">
      <c r="A343" s="35">
        <v>44172</v>
      </c>
      <c r="B343" s="60">
        <f t="shared" si="5"/>
        <v>8</v>
      </c>
      <c r="C343" s="36" t="str">
        <f>IFERROR(
  IF(
    VLOOKUP($A343,祝日!$A:$C,2,FALSE)="",
    "",
    VLOOKUP($A343,祝日!$A:$C,2,FALSE)
  ),
  ""
)</f>
        <v/>
      </c>
      <c r="D343" s="36" t="str">
        <f>IFERROR(
  IF(
    VLOOKUP($A343,祝日!$A:$C,3,FALSE)="",
    "",
    VLOOKUP($A343,祝日!$A:$C,3,FALSE)
  ),
  ""
)</f>
        <v/>
      </c>
    </row>
    <row r="344" spans="1:4" ht="15.75" x14ac:dyDescent="0.25">
      <c r="A344" s="35">
        <v>44173</v>
      </c>
      <c r="B344" s="60">
        <f t="shared" si="5"/>
        <v>8</v>
      </c>
      <c r="C344" s="36" t="str">
        <f>IFERROR(
  IF(
    VLOOKUP($A344,祝日!$A:$C,2,FALSE)="",
    "",
    VLOOKUP($A344,祝日!$A:$C,2,FALSE)
  ),
  ""
)</f>
        <v/>
      </c>
      <c r="D344" s="36" t="str">
        <f>IFERROR(
  IF(
    VLOOKUP($A344,祝日!$A:$C,3,FALSE)="",
    "",
    VLOOKUP($A344,祝日!$A:$C,3,FALSE)
  ),
  ""
)</f>
        <v/>
      </c>
    </row>
    <row r="345" spans="1:4" ht="15.75" x14ac:dyDescent="0.25">
      <c r="A345" s="35">
        <v>44174</v>
      </c>
      <c r="B345" s="60">
        <f t="shared" si="5"/>
        <v>8</v>
      </c>
      <c r="C345" s="36" t="str">
        <f>IFERROR(
  IF(
    VLOOKUP($A345,祝日!$A:$C,2,FALSE)="",
    "",
    VLOOKUP($A345,祝日!$A:$C,2,FALSE)
  ),
  ""
)</f>
        <v/>
      </c>
      <c r="D345" s="36" t="str">
        <f>IFERROR(
  IF(
    VLOOKUP($A345,祝日!$A:$C,3,FALSE)="",
    "",
    VLOOKUP($A345,祝日!$A:$C,3,FALSE)
  ),
  ""
)</f>
        <v/>
      </c>
    </row>
    <row r="346" spans="1:4" ht="15.75" x14ac:dyDescent="0.25">
      <c r="A346" s="35">
        <v>44175</v>
      </c>
      <c r="B346" s="60">
        <f t="shared" si="5"/>
        <v>8</v>
      </c>
      <c r="C346" s="36" t="str">
        <f>IFERROR(
  IF(
    VLOOKUP($A346,祝日!$A:$C,2,FALSE)="",
    "",
    VLOOKUP($A346,祝日!$A:$C,2,FALSE)
  ),
  ""
)</f>
        <v/>
      </c>
      <c r="D346" s="36" t="str">
        <f>IFERROR(
  IF(
    VLOOKUP($A346,祝日!$A:$C,3,FALSE)="",
    "",
    VLOOKUP($A346,祝日!$A:$C,3,FALSE)
  ),
  ""
)</f>
        <v/>
      </c>
    </row>
    <row r="347" spans="1:4" ht="15.75" x14ac:dyDescent="0.25">
      <c r="A347" s="35">
        <v>44176</v>
      </c>
      <c r="B347" s="60">
        <f t="shared" si="5"/>
        <v>8</v>
      </c>
      <c r="C347" s="36" t="str">
        <f>IFERROR(
  IF(
    VLOOKUP($A347,祝日!$A:$C,2,FALSE)="",
    "",
    VLOOKUP($A347,祝日!$A:$C,2,FALSE)
  ),
  ""
)</f>
        <v/>
      </c>
      <c r="D347" s="36" t="str">
        <f>IFERROR(
  IF(
    VLOOKUP($A347,祝日!$A:$C,3,FALSE)="",
    "",
    VLOOKUP($A347,祝日!$A:$C,3,FALSE)
  ),
  ""
)</f>
        <v/>
      </c>
    </row>
    <row r="348" spans="1:4" ht="15.75" x14ac:dyDescent="0.25">
      <c r="A348" s="35">
        <v>44177</v>
      </c>
      <c r="B348" s="60">
        <f t="shared" si="5"/>
        <v>0</v>
      </c>
      <c r="C348" s="36" t="str">
        <f>IFERROR(
  IF(
    VLOOKUP($A348,祝日!$A:$C,2,FALSE)="",
    "",
    VLOOKUP($A348,祝日!$A:$C,2,FALSE)
  ),
  ""
)</f>
        <v/>
      </c>
      <c r="D348" s="36" t="str">
        <f>IFERROR(
  IF(
    VLOOKUP($A348,祝日!$A:$C,3,FALSE)="",
    "",
    VLOOKUP($A348,祝日!$A:$C,3,FALSE)
  ),
  ""
)</f>
        <v/>
      </c>
    </row>
    <row r="349" spans="1:4" ht="15.75" x14ac:dyDescent="0.25">
      <c r="A349" s="35">
        <v>44178</v>
      </c>
      <c r="B349" s="60">
        <f t="shared" si="5"/>
        <v>0</v>
      </c>
      <c r="C349" s="36" t="str">
        <f>IFERROR(
  IF(
    VLOOKUP($A349,祝日!$A:$C,2,FALSE)="",
    "",
    VLOOKUP($A349,祝日!$A:$C,2,FALSE)
  ),
  ""
)</f>
        <v/>
      </c>
      <c r="D349" s="36" t="str">
        <f>IFERROR(
  IF(
    VLOOKUP($A349,祝日!$A:$C,3,FALSE)="",
    "",
    VLOOKUP($A349,祝日!$A:$C,3,FALSE)
  ),
  ""
)</f>
        <v/>
      </c>
    </row>
    <row r="350" spans="1:4" ht="15.75" x14ac:dyDescent="0.25">
      <c r="A350" s="35">
        <v>44179</v>
      </c>
      <c r="B350" s="60">
        <f t="shared" si="5"/>
        <v>8</v>
      </c>
      <c r="C350" s="36" t="str">
        <f>IFERROR(
  IF(
    VLOOKUP($A350,祝日!$A:$C,2,FALSE)="",
    "",
    VLOOKUP($A350,祝日!$A:$C,2,FALSE)
  ),
  ""
)</f>
        <v/>
      </c>
      <c r="D350" s="36" t="str">
        <f>IFERROR(
  IF(
    VLOOKUP($A350,祝日!$A:$C,3,FALSE)="",
    "",
    VLOOKUP($A350,祝日!$A:$C,3,FALSE)
  ),
  ""
)</f>
        <v/>
      </c>
    </row>
    <row r="351" spans="1:4" ht="15.75" x14ac:dyDescent="0.25">
      <c r="A351" s="35">
        <v>44180</v>
      </c>
      <c r="B351" s="60">
        <f t="shared" si="5"/>
        <v>8</v>
      </c>
      <c r="C351" s="36" t="str">
        <f>IFERROR(
  IF(
    VLOOKUP($A351,祝日!$A:$C,2,FALSE)="",
    "",
    VLOOKUP($A351,祝日!$A:$C,2,FALSE)
  ),
  ""
)</f>
        <v/>
      </c>
      <c r="D351" s="36" t="str">
        <f>IFERROR(
  IF(
    VLOOKUP($A351,祝日!$A:$C,3,FALSE)="",
    "",
    VLOOKUP($A351,祝日!$A:$C,3,FALSE)
  ),
  ""
)</f>
        <v/>
      </c>
    </row>
    <row r="352" spans="1:4" ht="15.75" x14ac:dyDescent="0.25">
      <c r="A352" s="35">
        <v>44181</v>
      </c>
      <c r="B352" s="60">
        <f t="shared" si="5"/>
        <v>8</v>
      </c>
      <c r="C352" s="36" t="str">
        <f>IFERROR(
  IF(
    VLOOKUP($A352,祝日!$A:$C,2,FALSE)="",
    "",
    VLOOKUP($A352,祝日!$A:$C,2,FALSE)
  ),
  ""
)</f>
        <v/>
      </c>
      <c r="D352" s="36" t="str">
        <f>IFERROR(
  IF(
    VLOOKUP($A352,祝日!$A:$C,3,FALSE)="",
    "",
    VLOOKUP($A352,祝日!$A:$C,3,FALSE)
  ),
  ""
)</f>
        <v/>
      </c>
    </row>
    <row r="353" spans="1:4" ht="15.75" x14ac:dyDescent="0.25">
      <c r="A353" s="35">
        <v>44182</v>
      </c>
      <c r="B353" s="60">
        <f t="shared" si="5"/>
        <v>8</v>
      </c>
      <c r="C353" s="36" t="str">
        <f>IFERROR(
  IF(
    VLOOKUP($A353,祝日!$A:$C,2,FALSE)="",
    "",
    VLOOKUP($A353,祝日!$A:$C,2,FALSE)
  ),
  ""
)</f>
        <v/>
      </c>
      <c r="D353" s="36" t="str">
        <f>IFERROR(
  IF(
    VLOOKUP($A353,祝日!$A:$C,3,FALSE)="",
    "",
    VLOOKUP($A353,祝日!$A:$C,3,FALSE)
  ),
  ""
)</f>
        <v/>
      </c>
    </row>
    <row r="354" spans="1:4" ht="15.75" x14ac:dyDescent="0.25">
      <c r="A354" s="35">
        <v>44183</v>
      </c>
      <c r="B354" s="60">
        <f t="shared" si="5"/>
        <v>8</v>
      </c>
      <c r="C354" s="36" t="str">
        <f>IFERROR(
  IF(
    VLOOKUP($A354,祝日!$A:$C,2,FALSE)="",
    "",
    VLOOKUP($A354,祝日!$A:$C,2,FALSE)
  ),
  ""
)</f>
        <v/>
      </c>
      <c r="D354" s="36" t="str">
        <f>IFERROR(
  IF(
    VLOOKUP($A354,祝日!$A:$C,3,FALSE)="",
    "",
    VLOOKUP($A354,祝日!$A:$C,3,FALSE)
  ),
  ""
)</f>
        <v/>
      </c>
    </row>
    <row r="355" spans="1:4" ht="15.75" x14ac:dyDescent="0.25">
      <c r="A355" s="35">
        <v>44184</v>
      </c>
      <c r="B355" s="60">
        <f t="shared" si="5"/>
        <v>0</v>
      </c>
      <c r="C355" s="36" t="str">
        <f>IFERROR(
  IF(
    VLOOKUP($A355,祝日!$A:$C,2,FALSE)="",
    "",
    VLOOKUP($A355,祝日!$A:$C,2,FALSE)
  ),
  ""
)</f>
        <v/>
      </c>
      <c r="D355" s="36" t="str">
        <f>IFERROR(
  IF(
    VLOOKUP($A355,祝日!$A:$C,3,FALSE)="",
    "",
    VLOOKUP($A355,祝日!$A:$C,3,FALSE)
  ),
  ""
)</f>
        <v/>
      </c>
    </row>
    <row r="356" spans="1:4" ht="15.75" x14ac:dyDescent="0.25">
      <c r="A356" s="35">
        <v>44185</v>
      </c>
      <c r="B356" s="60">
        <f t="shared" si="5"/>
        <v>0</v>
      </c>
      <c r="C356" s="36" t="str">
        <f>IFERROR(
  IF(
    VLOOKUP($A356,祝日!$A:$C,2,FALSE)="",
    "",
    VLOOKUP($A356,祝日!$A:$C,2,FALSE)
  ),
  ""
)</f>
        <v/>
      </c>
      <c r="D356" s="36" t="str">
        <f>IFERROR(
  IF(
    VLOOKUP($A356,祝日!$A:$C,3,FALSE)="",
    "",
    VLOOKUP($A356,祝日!$A:$C,3,FALSE)
  ),
  ""
)</f>
        <v/>
      </c>
    </row>
    <row r="357" spans="1:4" ht="15.75" x14ac:dyDescent="0.25">
      <c r="A357" s="35">
        <v>44186</v>
      </c>
      <c r="B357" s="60">
        <f t="shared" si="5"/>
        <v>8</v>
      </c>
      <c r="C357" s="36" t="str">
        <f>IFERROR(
  IF(
    VLOOKUP($A357,祝日!$A:$C,2,FALSE)="",
    "",
    VLOOKUP($A357,祝日!$A:$C,2,FALSE)
  ),
  ""
)</f>
        <v/>
      </c>
      <c r="D357" s="36" t="str">
        <f>IFERROR(
  IF(
    VLOOKUP($A357,祝日!$A:$C,3,FALSE)="",
    "",
    VLOOKUP($A357,祝日!$A:$C,3,FALSE)
  ),
  ""
)</f>
        <v/>
      </c>
    </row>
    <row r="358" spans="1:4" ht="15.75" x14ac:dyDescent="0.25">
      <c r="A358" s="35">
        <v>44187</v>
      </c>
      <c r="B358" s="60">
        <f t="shared" si="5"/>
        <v>8</v>
      </c>
      <c r="C358" s="36" t="str">
        <f>IFERROR(
  IF(
    VLOOKUP($A358,祝日!$A:$C,2,FALSE)="",
    "",
    VLOOKUP($A358,祝日!$A:$C,2,FALSE)
  ),
  ""
)</f>
        <v/>
      </c>
      <c r="D358" s="36" t="str">
        <f>IFERROR(
  IF(
    VLOOKUP($A358,祝日!$A:$C,3,FALSE)="",
    "",
    VLOOKUP($A358,祝日!$A:$C,3,FALSE)
  ),
  ""
)</f>
        <v/>
      </c>
    </row>
    <row r="359" spans="1:4" ht="15.75" x14ac:dyDescent="0.25">
      <c r="A359" s="35">
        <v>44188</v>
      </c>
      <c r="B359" s="60">
        <f t="shared" si="5"/>
        <v>8</v>
      </c>
      <c r="C359" s="36" t="str">
        <f>IFERROR(
  IF(
    VLOOKUP($A359,祝日!$A:$C,2,FALSE)="",
    "",
    VLOOKUP($A359,祝日!$A:$C,2,FALSE)
  ),
  ""
)</f>
        <v/>
      </c>
      <c r="D359" s="36" t="str">
        <f>IFERROR(
  IF(
    VLOOKUP($A359,祝日!$A:$C,3,FALSE)="",
    "",
    VLOOKUP($A359,祝日!$A:$C,3,FALSE)
  ),
  ""
)</f>
        <v/>
      </c>
    </row>
    <row r="360" spans="1:4" ht="15.75" x14ac:dyDescent="0.25">
      <c r="A360" s="35">
        <v>44189</v>
      </c>
      <c r="B360" s="60">
        <f t="shared" si="5"/>
        <v>8</v>
      </c>
      <c r="C360" s="36" t="str">
        <f>IFERROR(
  IF(
    VLOOKUP($A360,祝日!$A:$C,2,FALSE)="",
    "",
    VLOOKUP($A360,祝日!$A:$C,2,FALSE)
  ),
  ""
)</f>
        <v/>
      </c>
      <c r="D360" s="36" t="str">
        <f>IFERROR(
  IF(
    VLOOKUP($A360,祝日!$A:$C,3,FALSE)="",
    "",
    VLOOKUP($A360,祝日!$A:$C,3,FALSE)
  ),
  ""
)</f>
        <v/>
      </c>
    </row>
    <row r="361" spans="1:4" ht="15.75" x14ac:dyDescent="0.25">
      <c r="A361" s="35">
        <v>44190</v>
      </c>
      <c r="B361" s="60">
        <f t="shared" si="5"/>
        <v>8</v>
      </c>
      <c r="C361" s="36" t="str">
        <f>IFERROR(
  IF(
    VLOOKUP($A361,祝日!$A:$C,2,FALSE)="",
    "",
    VLOOKUP($A361,祝日!$A:$C,2,FALSE)
  ),
  ""
)</f>
        <v/>
      </c>
      <c r="D361" s="36" t="str">
        <f>IFERROR(
  IF(
    VLOOKUP($A361,祝日!$A:$C,3,FALSE)="",
    "",
    VLOOKUP($A361,祝日!$A:$C,3,FALSE)
  ),
  ""
)</f>
        <v/>
      </c>
    </row>
    <row r="362" spans="1:4" ht="15.75" x14ac:dyDescent="0.25">
      <c r="A362" s="35">
        <v>44191</v>
      </c>
      <c r="B362" s="60">
        <f t="shared" si="5"/>
        <v>0</v>
      </c>
      <c r="C362" s="36" t="str">
        <f>IFERROR(
  IF(
    VLOOKUP($A362,祝日!$A:$C,2,FALSE)="",
    "",
    VLOOKUP($A362,祝日!$A:$C,2,FALSE)
  ),
  ""
)</f>
        <v/>
      </c>
      <c r="D362" s="36" t="str">
        <f>IFERROR(
  IF(
    VLOOKUP($A362,祝日!$A:$C,3,FALSE)="",
    "",
    VLOOKUP($A362,祝日!$A:$C,3,FALSE)
  ),
  ""
)</f>
        <v/>
      </c>
    </row>
    <row r="363" spans="1:4" ht="15.75" x14ac:dyDescent="0.25">
      <c r="A363" s="35">
        <v>44192</v>
      </c>
      <c r="B363" s="60">
        <f t="shared" si="5"/>
        <v>0</v>
      </c>
      <c r="C363" s="36" t="str">
        <f>IFERROR(
  IF(
    VLOOKUP($A363,祝日!$A:$C,2,FALSE)="",
    "",
    VLOOKUP($A363,祝日!$A:$C,2,FALSE)
  ),
  ""
)</f>
        <v/>
      </c>
      <c r="D363" s="36" t="str">
        <f>IFERROR(
  IF(
    VLOOKUP($A363,祝日!$A:$C,3,FALSE)="",
    "",
    VLOOKUP($A363,祝日!$A:$C,3,FALSE)
  ),
  ""
)</f>
        <v/>
      </c>
    </row>
    <row r="364" spans="1:4" ht="15.75" x14ac:dyDescent="0.25">
      <c r="A364" s="35">
        <v>44193</v>
      </c>
      <c r="B364" s="60">
        <f t="shared" si="5"/>
        <v>8</v>
      </c>
      <c r="C364" s="36" t="str">
        <f>IFERROR(
  IF(
    VLOOKUP($A364,祝日!$A:$C,2,FALSE)="",
    "",
    VLOOKUP($A364,祝日!$A:$C,2,FALSE)
  ),
  ""
)</f>
        <v/>
      </c>
      <c r="D364" s="36" t="str">
        <f>IFERROR(
  IF(
    VLOOKUP($A364,祝日!$A:$C,3,FALSE)="",
    "",
    VLOOKUP($A364,祝日!$A:$C,3,FALSE)
  ),
  ""
)</f>
        <v/>
      </c>
    </row>
    <row r="365" spans="1:4" ht="15.75" x14ac:dyDescent="0.25">
      <c r="A365" s="35">
        <v>44194</v>
      </c>
      <c r="B365" s="60">
        <f t="shared" si="5"/>
        <v>8</v>
      </c>
      <c r="C365" s="36" t="str">
        <f>IFERROR(
  IF(
    VLOOKUP($A365,祝日!$A:$C,2,FALSE)="",
    "",
    VLOOKUP($A365,祝日!$A:$C,2,FALSE)
  ),
  ""
)</f>
        <v/>
      </c>
      <c r="D365" s="36" t="str">
        <f>IFERROR(
  IF(
    VLOOKUP($A365,祝日!$A:$C,3,FALSE)="",
    "",
    VLOOKUP($A365,祝日!$A:$C,3,FALSE)
  ),
  ""
)</f>
        <v/>
      </c>
    </row>
    <row r="366" spans="1:4" ht="15.75" x14ac:dyDescent="0.25">
      <c r="A366" s="35">
        <v>44195</v>
      </c>
      <c r="B366" s="60">
        <f t="shared" si="5"/>
        <v>8</v>
      </c>
      <c r="C366" s="36" t="str">
        <f>IFERROR(
  IF(
    VLOOKUP($A366,祝日!$A:$C,2,FALSE)="",
    "",
    VLOOKUP($A366,祝日!$A:$C,2,FALSE)
  ),
  ""
)</f>
        <v/>
      </c>
      <c r="D366" s="36" t="str">
        <f>IFERROR(
  IF(
    VLOOKUP($A366,祝日!$A:$C,3,FALSE)="",
    "",
    VLOOKUP($A366,祝日!$A:$C,3,FALSE)
  ),
  ""
)</f>
        <v/>
      </c>
    </row>
    <row r="367" spans="1:4" ht="15.75" x14ac:dyDescent="0.25">
      <c r="A367" s="35">
        <v>44196</v>
      </c>
      <c r="B367" s="60">
        <f t="shared" si="5"/>
        <v>8</v>
      </c>
      <c r="C367" s="36" t="str">
        <f>IFERROR(
  IF(
    VLOOKUP($A367,祝日!$A:$C,2,FALSE)="",
    "",
    VLOOKUP($A367,祝日!$A:$C,2,FALSE)
  ),
  ""
)</f>
        <v/>
      </c>
      <c r="D367" s="36" t="str">
        <f>IFERROR(
  IF(
    VLOOKUP($A367,祝日!$A:$C,3,FALSE)="",
    "",
    VLOOKUP($A367,祝日!$A:$C,3,FALSE)
  ),
  ""
)</f>
        <v/>
      </c>
    </row>
    <row r="368" spans="1:4" ht="15.75" x14ac:dyDescent="0.25">
      <c r="A368" s="35"/>
      <c r="B368" s="35"/>
    </row>
    <row r="369" spans="1:2" ht="15.75" x14ac:dyDescent="0.25">
      <c r="A369" s="35"/>
      <c r="B369" s="35"/>
    </row>
    <row r="370" spans="1:2" ht="15.75" x14ac:dyDescent="0.25">
      <c r="A370" s="35"/>
      <c r="B370" s="35"/>
    </row>
    <row r="371" spans="1:2" ht="15.75" x14ac:dyDescent="0.25">
      <c r="A371" s="35"/>
      <c r="B371" s="35"/>
    </row>
    <row r="372" spans="1:2" ht="15.75" x14ac:dyDescent="0.25">
      <c r="A372" s="35"/>
      <c r="B372" s="35"/>
    </row>
    <row r="373" spans="1:2" ht="15.75" x14ac:dyDescent="0.25">
      <c r="A373" s="35"/>
      <c r="B373" s="35"/>
    </row>
    <row r="374" spans="1:2" ht="15.75" x14ac:dyDescent="0.25">
      <c r="A374" s="35"/>
      <c r="B374" s="35"/>
    </row>
    <row r="375" spans="1:2" ht="15.75" x14ac:dyDescent="0.25">
      <c r="A375" s="35"/>
      <c r="B375" s="35"/>
    </row>
    <row r="376" spans="1:2" ht="15.75" x14ac:dyDescent="0.25">
      <c r="A376" s="35"/>
      <c r="B376" s="35"/>
    </row>
    <row r="377" spans="1:2" ht="15.75" x14ac:dyDescent="0.25">
      <c r="A377" s="35"/>
      <c r="B377" s="35"/>
    </row>
    <row r="378" spans="1:2" ht="15.75" x14ac:dyDescent="0.25">
      <c r="A378" s="35"/>
      <c r="B378" s="35"/>
    </row>
    <row r="379" spans="1:2" ht="15.75" x14ac:dyDescent="0.25">
      <c r="A379" s="35"/>
      <c r="B379" s="35"/>
    </row>
    <row r="380" spans="1:2" ht="15.75" x14ac:dyDescent="0.25">
      <c r="A380" s="35"/>
      <c r="B380" s="35"/>
    </row>
    <row r="381" spans="1:2" ht="15.75" x14ac:dyDescent="0.25">
      <c r="A381" s="35"/>
      <c r="B381" s="35"/>
    </row>
    <row r="382" spans="1:2" ht="15.75" x14ac:dyDescent="0.25">
      <c r="A382" s="35"/>
      <c r="B382" s="35"/>
    </row>
    <row r="383" spans="1:2" ht="15.75" x14ac:dyDescent="0.25">
      <c r="A383" s="35"/>
      <c r="B383" s="35"/>
    </row>
    <row r="384" spans="1:2" ht="15.75" x14ac:dyDescent="0.25">
      <c r="A384" s="35"/>
      <c r="B384" s="35"/>
    </row>
    <row r="385" spans="1:2" ht="15.75" x14ac:dyDescent="0.25">
      <c r="A385" s="35"/>
      <c r="B385" s="35"/>
    </row>
    <row r="386" spans="1:2" ht="15.75" x14ac:dyDescent="0.25">
      <c r="A386" s="35"/>
      <c r="B386" s="35"/>
    </row>
    <row r="387" spans="1:2" ht="15.75" x14ac:dyDescent="0.25">
      <c r="A387" s="35"/>
      <c r="B387" s="35"/>
    </row>
    <row r="388" spans="1:2" ht="15.75" x14ac:dyDescent="0.25">
      <c r="A388" s="35"/>
      <c r="B388" s="35"/>
    </row>
    <row r="389" spans="1:2" ht="15.75" x14ac:dyDescent="0.25">
      <c r="A389" s="35"/>
      <c r="B389" s="35"/>
    </row>
    <row r="390" spans="1:2" ht="15.75" x14ac:dyDescent="0.25">
      <c r="A390" s="35"/>
      <c r="B390" s="35"/>
    </row>
    <row r="391" spans="1:2" ht="15.75" x14ac:dyDescent="0.25">
      <c r="A391" s="35"/>
      <c r="B391" s="35"/>
    </row>
    <row r="392" spans="1:2" ht="15.75" x14ac:dyDescent="0.25">
      <c r="A392" s="35"/>
      <c r="B392" s="35"/>
    </row>
    <row r="393" spans="1:2" ht="15.75" x14ac:dyDescent="0.25">
      <c r="A393" s="35"/>
      <c r="B393" s="35"/>
    </row>
    <row r="394" spans="1:2" ht="15.75" x14ac:dyDescent="0.25">
      <c r="A394" s="35"/>
      <c r="B394" s="35"/>
    </row>
    <row r="395" spans="1:2" ht="15.75" x14ac:dyDescent="0.25">
      <c r="A395" s="35"/>
      <c r="B395" s="35"/>
    </row>
    <row r="396" spans="1:2" ht="15.75" x14ac:dyDescent="0.25">
      <c r="A396" s="35"/>
      <c r="B396" s="35"/>
    </row>
    <row r="397" spans="1:2" ht="15.75" x14ac:dyDescent="0.25">
      <c r="A397" s="35"/>
      <c r="B397" s="35"/>
    </row>
    <row r="398" spans="1:2" ht="15.75" x14ac:dyDescent="0.25">
      <c r="A398" s="35"/>
      <c r="B398" s="35"/>
    </row>
    <row r="399" spans="1:2" ht="15.75" x14ac:dyDescent="0.25">
      <c r="A399" s="35"/>
      <c r="B399" s="35"/>
    </row>
    <row r="400" spans="1:2" ht="15.75" x14ac:dyDescent="0.25">
      <c r="A400" s="35"/>
      <c r="B400" s="35"/>
    </row>
    <row r="401" spans="1:2" ht="15.75" x14ac:dyDescent="0.25">
      <c r="A401" s="35"/>
      <c r="B401" s="35"/>
    </row>
    <row r="402" spans="1:2" ht="15.75" x14ac:dyDescent="0.25">
      <c r="A402" s="35"/>
      <c r="B402" s="35"/>
    </row>
    <row r="403" spans="1:2" ht="15.75" x14ac:dyDescent="0.25">
      <c r="A403" s="35"/>
      <c r="B403" s="35"/>
    </row>
    <row r="404" spans="1:2" ht="15.75" x14ac:dyDescent="0.25">
      <c r="A404" s="35"/>
      <c r="B404" s="35"/>
    </row>
    <row r="405" spans="1:2" ht="15.75" x14ac:dyDescent="0.25">
      <c r="A405" s="35"/>
      <c r="B405" s="35"/>
    </row>
    <row r="406" spans="1:2" ht="15.75" x14ac:dyDescent="0.25">
      <c r="A406" s="35"/>
      <c r="B406" s="35"/>
    </row>
    <row r="407" spans="1:2" ht="15.75" x14ac:dyDescent="0.25">
      <c r="A407" s="35"/>
      <c r="B407" s="35"/>
    </row>
    <row r="408" spans="1:2" ht="15.75" x14ac:dyDescent="0.25">
      <c r="A408" s="35"/>
      <c r="B408" s="35"/>
    </row>
    <row r="409" spans="1:2" ht="15.75" x14ac:dyDescent="0.25">
      <c r="A409" s="35"/>
      <c r="B409" s="35"/>
    </row>
    <row r="410" spans="1:2" ht="15.75" x14ac:dyDescent="0.25">
      <c r="A410" s="35"/>
      <c r="B410" s="35"/>
    </row>
    <row r="411" spans="1:2" ht="15.75" x14ac:dyDescent="0.25">
      <c r="A411" s="35"/>
      <c r="B411" s="35"/>
    </row>
    <row r="412" spans="1:2" ht="15.75" x14ac:dyDescent="0.25">
      <c r="A412" s="35"/>
      <c r="B412" s="35"/>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395FB0A3-43CD-4A07-899E-7F91C52CFB1F}">
            <xm:f>OR(5&lt;WEEKDAY($A2,2),0&lt;COUNTIF(祝日!$A:$A,$A2))</xm:f>
            <x14:dxf>
              <font>
                <color theme="0"/>
              </font>
              <fill>
                <patternFill>
                  <bgColor rgb="FFFF0000"/>
                </patternFill>
              </fill>
            </x14:dxf>
          </x14:cfRule>
          <xm:sqref>A2:B367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D6E6-0673-4275-ADB4-B1E1B3F16707}">
  <sheetPr codeName="Sheet8"/>
  <dimension ref="A1:D412"/>
  <sheetViews>
    <sheetView zoomScale="85" zoomScaleNormal="85" workbookViewId="0">
      <selection activeCell="A2" sqref="A2"/>
    </sheetView>
  </sheetViews>
  <sheetFormatPr defaultRowHeight="13.5" x14ac:dyDescent="0.25"/>
  <cols>
    <col min="1" max="1" width="15.77734375" style="33" customWidth="1"/>
    <col min="2" max="2" width="8" style="33" bestFit="1" customWidth="1"/>
    <col min="3" max="3" width="12.21875" style="37" bestFit="1" customWidth="1"/>
    <col min="4" max="4" width="22.109375" style="37" bestFit="1" customWidth="1"/>
    <col min="5" max="16384" width="8.88671875" style="34"/>
  </cols>
  <sheetData>
    <row r="1" spans="1:4" ht="15.75" x14ac:dyDescent="0.25">
      <c r="A1" s="38"/>
      <c r="B1" s="38" t="s">
        <v>67</v>
      </c>
      <c r="C1" s="38" t="s">
        <v>59</v>
      </c>
      <c r="D1" s="38" t="s">
        <v>60</v>
      </c>
    </row>
    <row r="2" spans="1:4" ht="15.75" x14ac:dyDescent="0.25">
      <c r="A2" s="35">
        <v>43831</v>
      </c>
      <c r="B2" s="60">
        <v>8</v>
      </c>
      <c r="C2" s="36" t="str">
        <f>IFERROR(
  IF(
    VLOOKUP($A2,祝日!$A:$C,2,FALSE)="",
    "",
    VLOOKUP($A2,祝日!$A:$C,2,FALSE)
  ),
  ""
)</f>
        <v xml:space="preserve">元日 </v>
      </c>
      <c r="D2" s="36" t="str">
        <f>IFERROR(
  IF(
    VLOOKUP($A2,祝日!$A:$C,3,FALSE)="",
    "",
    VLOOKUP($A2,祝日!$A:$C,3,FALSE)
  ),
  ""
)</f>
        <v/>
      </c>
    </row>
    <row r="3" spans="1:4" ht="15.75" x14ac:dyDescent="0.25">
      <c r="A3" s="35">
        <v>43832</v>
      </c>
      <c r="B3" s="60">
        <v>8</v>
      </c>
      <c r="C3" s="36" t="str">
        <f>IFERROR(
  IF(
    VLOOKUP($A3,祝日!$A:$C,2,FALSE)="",
    "",
    VLOOKUP($A3,祝日!$A:$C,2,FALSE)
  ),
  ""
)</f>
        <v/>
      </c>
      <c r="D3" s="36" t="str">
        <f>IFERROR(
  IF(
    VLOOKUP($A3,祝日!$A:$C,3,FALSE)="",
    "",
    VLOOKUP($A3,祝日!$A:$C,3,FALSE)
  ),
  ""
)</f>
        <v/>
      </c>
    </row>
    <row r="4" spans="1:4" ht="15.75" x14ac:dyDescent="0.25">
      <c r="A4" s="35">
        <v>43833</v>
      </c>
      <c r="B4" s="60">
        <v>8</v>
      </c>
      <c r="C4" s="36" t="str">
        <f>IFERROR(
  IF(
    VLOOKUP($A4,祝日!$A:$C,2,FALSE)="",
    "",
    VLOOKUP($A4,祝日!$A:$C,2,FALSE)
  ),
  ""
)</f>
        <v/>
      </c>
      <c r="D4" s="36" t="str">
        <f>IFERROR(
  IF(
    VLOOKUP($A4,祝日!$A:$C,3,FALSE)="",
    "",
    VLOOKUP($A4,祝日!$A:$C,3,FALSE)
  ),
  ""
)</f>
        <v/>
      </c>
    </row>
    <row r="5" spans="1:4" ht="15.75" x14ac:dyDescent="0.25">
      <c r="A5" s="35">
        <v>43834</v>
      </c>
      <c r="B5" s="60">
        <v>8</v>
      </c>
      <c r="C5" s="36" t="str">
        <f>IFERROR(
  IF(
    VLOOKUP($A5,祝日!$A:$C,2,FALSE)="",
    "",
    VLOOKUP($A5,祝日!$A:$C,2,FALSE)
  ),
  ""
)</f>
        <v/>
      </c>
      <c r="D5" s="36" t="str">
        <f>IFERROR(
  IF(
    VLOOKUP($A5,祝日!$A:$C,3,FALSE)="",
    "",
    VLOOKUP($A5,祝日!$A:$C,3,FALSE)
  ),
  ""
)</f>
        <v/>
      </c>
    </row>
    <row r="6" spans="1:4" ht="15.75" x14ac:dyDescent="0.25">
      <c r="A6" s="35">
        <v>43835</v>
      </c>
      <c r="B6" s="60">
        <v>8</v>
      </c>
      <c r="C6" s="36" t="str">
        <f>IFERROR(
  IF(
    VLOOKUP($A6,祝日!$A:$C,2,FALSE)="",
    "",
    VLOOKUP($A6,祝日!$A:$C,2,FALSE)
  ),
  ""
)</f>
        <v/>
      </c>
      <c r="D6" s="36" t="str">
        <f>IFERROR(
  IF(
    VLOOKUP($A6,祝日!$A:$C,3,FALSE)="",
    "",
    VLOOKUP($A6,祝日!$A:$C,3,FALSE)
  ),
  ""
)</f>
        <v/>
      </c>
    </row>
    <row r="7" spans="1:4" ht="15.75" x14ac:dyDescent="0.25">
      <c r="A7" s="35">
        <v>43836</v>
      </c>
      <c r="B7" s="60">
        <v>8</v>
      </c>
      <c r="C7" s="36" t="str">
        <f>IFERROR(
  IF(
    VLOOKUP($A7,祝日!$A:$C,2,FALSE)="",
    "",
    VLOOKUP($A7,祝日!$A:$C,2,FALSE)
  ),
  ""
)</f>
        <v/>
      </c>
      <c r="D7" s="36" t="str">
        <f>IFERROR(
  IF(
    VLOOKUP($A7,祝日!$A:$C,3,FALSE)="",
    "",
    VLOOKUP($A7,祝日!$A:$C,3,FALSE)
  ),
  ""
)</f>
        <v/>
      </c>
    </row>
    <row r="8" spans="1:4" ht="15.75" x14ac:dyDescent="0.25">
      <c r="A8" s="35">
        <v>43837</v>
      </c>
      <c r="B8" s="60">
        <v>8</v>
      </c>
      <c r="C8" s="36" t="str">
        <f>IFERROR(
  IF(
    VLOOKUP($A8,祝日!$A:$C,2,FALSE)="",
    "",
    VLOOKUP($A8,祝日!$A:$C,2,FALSE)
  ),
  ""
)</f>
        <v/>
      </c>
      <c r="D8" s="36" t="str">
        <f>IFERROR(
  IF(
    VLOOKUP($A8,祝日!$A:$C,3,FALSE)="",
    "",
    VLOOKUP($A8,祝日!$A:$C,3,FALSE)
  ),
  ""
)</f>
        <v/>
      </c>
    </row>
    <row r="9" spans="1:4" ht="15.75" x14ac:dyDescent="0.25">
      <c r="A9" s="35">
        <v>43838</v>
      </c>
      <c r="B9" s="60">
        <v>8</v>
      </c>
      <c r="C9" s="36" t="str">
        <f>IFERROR(
  IF(
    VLOOKUP($A9,祝日!$A:$C,2,FALSE)="",
    "",
    VLOOKUP($A9,祝日!$A:$C,2,FALSE)
  ),
  ""
)</f>
        <v/>
      </c>
      <c r="D9" s="36" t="str">
        <f>IFERROR(
  IF(
    VLOOKUP($A9,祝日!$A:$C,3,FALSE)="",
    "",
    VLOOKUP($A9,祝日!$A:$C,3,FALSE)
  ),
  ""
)</f>
        <v/>
      </c>
    </row>
    <row r="10" spans="1:4" ht="15.75" x14ac:dyDescent="0.25">
      <c r="A10" s="35">
        <v>43839</v>
      </c>
      <c r="B10" s="60">
        <v>8</v>
      </c>
      <c r="C10" s="36" t="str">
        <f>IFERROR(
  IF(
    VLOOKUP($A10,祝日!$A:$C,2,FALSE)="",
    "",
    VLOOKUP($A10,祝日!$A:$C,2,FALSE)
  ),
  ""
)</f>
        <v/>
      </c>
      <c r="D10" s="36" t="str">
        <f>IFERROR(
  IF(
    VLOOKUP($A10,祝日!$A:$C,3,FALSE)="",
    "",
    VLOOKUP($A10,祝日!$A:$C,3,FALSE)
  ),
  ""
)</f>
        <v/>
      </c>
    </row>
    <row r="11" spans="1:4" ht="15.75" x14ac:dyDescent="0.25">
      <c r="A11" s="35">
        <v>43840</v>
      </c>
      <c r="B11" s="60">
        <v>8</v>
      </c>
      <c r="C11" s="36" t="str">
        <f>IFERROR(
  IF(
    VLOOKUP($A11,祝日!$A:$C,2,FALSE)="",
    "",
    VLOOKUP($A11,祝日!$A:$C,2,FALSE)
  ),
  ""
)</f>
        <v/>
      </c>
      <c r="D11" s="36" t="str">
        <f>IFERROR(
  IF(
    VLOOKUP($A11,祝日!$A:$C,3,FALSE)="",
    "",
    VLOOKUP($A11,祝日!$A:$C,3,FALSE)
  ),
  ""
)</f>
        <v/>
      </c>
    </row>
    <row r="12" spans="1:4" ht="15.75" x14ac:dyDescent="0.25">
      <c r="A12" s="35">
        <v>43841</v>
      </c>
      <c r="B12" s="60">
        <v>8</v>
      </c>
      <c r="C12" s="36" t="str">
        <f>IFERROR(
  IF(
    VLOOKUP($A12,祝日!$A:$C,2,FALSE)="",
    "",
    VLOOKUP($A12,祝日!$A:$C,2,FALSE)
  ),
  ""
)</f>
        <v/>
      </c>
      <c r="D12" s="36" t="str">
        <f>IFERROR(
  IF(
    VLOOKUP($A12,祝日!$A:$C,3,FALSE)="",
    "",
    VLOOKUP($A12,祝日!$A:$C,3,FALSE)
  ),
  ""
)</f>
        <v/>
      </c>
    </row>
    <row r="13" spans="1:4" ht="15.75" x14ac:dyDescent="0.25">
      <c r="A13" s="35">
        <v>43842</v>
      </c>
      <c r="B13" s="60">
        <v>8</v>
      </c>
      <c r="C13" s="36" t="str">
        <f>IFERROR(
  IF(
    VLOOKUP($A13,祝日!$A:$C,2,FALSE)="",
    "",
    VLOOKUP($A13,祝日!$A:$C,2,FALSE)
  ),
  ""
)</f>
        <v/>
      </c>
      <c r="D13" s="36" t="str">
        <f>IFERROR(
  IF(
    VLOOKUP($A13,祝日!$A:$C,3,FALSE)="",
    "",
    VLOOKUP($A13,祝日!$A:$C,3,FALSE)
  ),
  ""
)</f>
        <v/>
      </c>
    </row>
    <row r="14" spans="1:4" ht="15.75" x14ac:dyDescent="0.25">
      <c r="A14" s="35">
        <v>43843</v>
      </c>
      <c r="B14" s="60">
        <v>8</v>
      </c>
      <c r="C14" s="36" t="str">
        <f>IFERROR(
  IF(
    VLOOKUP($A14,祝日!$A:$C,2,FALSE)="",
    "",
    VLOOKUP($A14,祝日!$A:$C,2,FALSE)
  ),
  ""
)</f>
        <v xml:space="preserve">成人の日 </v>
      </c>
      <c r="D14" s="36" t="str">
        <f>IFERROR(
  IF(
    VLOOKUP($A14,祝日!$A:$C,3,FALSE)="",
    "",
    VLOOKUP($A14,祝日!$A:$C,3,FALSE)
  ),
  ""
)</f>
        <v>1月第2月曜日</v>
      </c>
    </row>
    <row r="15" spans="1:4" ht="15.75" x14ac:dyDescent="0.25">
      <c r="A15" s="35">
        <v>43844</v>
      </c>
      <c r="B15" s="60">
        <v>8</v>
      </c>
      <c r="C15" s="36" t="str">
        <f>IFERROR(
  IF(
    VLOOKUP($A15,祝日!$A:$C,2,FALSE)="",
    "",
    VLOOKUP($A15,祝日!$A:$C,2,FALSE)
  ),
  ""
)</f>
        <v/>
      </c>
      <c r="D15" s="36" t="str">
        <f>IFERROR(
  IF(
    VLOOKUP($A15,祝日!$A:$C,3,FALSE)="",
    "",
    VLOOKUP($A15,祝日!$A:$C,3,FALSE)
  ),
  ""
)</f>
        <v/>
      </c>
    </row>
    <row r="16" spans="1:4" ht="15.75" x14ac:dyDescent="0.25">
      <c r="A16" s="35">
        <v>43845</v>
      </c>
      <c r="B16" s="60">
        <v>8</v>
      </c>
      <c r="C16" s="36" t="str">
        <f>IFERROR(
  IF(
    VLOOKUP($A16,祝日!$A:$C,2,FALSE)="",
    "",
    VLOOKUP($A16,祝日!$A:$C,2,FALSE)
  ),
  ""
)</f>
        <v/>
      </c>
      <c r="D16" s="36" t="str">
        <f>IFERROR(
  IF(
    VLOOKUP($A16,祝日!$A:$C,3,FALSE)="",
    "",
    VLOOKUP($A16,祝日!$A:$C,3,FALSE)
  ),
  ""
)</f>
        <v/>
      </c>
    </row>
    <row r="17" spans="1:4" ht="15.75" x14ac:dyDescent="0.25">
      <c r="A17" s="35">
        <v>43846</v>
      </c>
      <c r="B17" s="60">
        <v>8</v>
      </c>
      <c r="C17" s="36" t="str">
        <f>IFERROR(
  IF(
    VLOOKUP($A17,祝日!$A:$C,2,FALSE)="",
    "",
    VLOOKUP($A17,祝日!$A:$C,2,FALSE)
  ),
  ""
)</f>
        <v/>
      </c>
      <c r="D17" s="36" t="str">
        <f>IFERROR(
  IF(
    VLOOKUP($A17,祝日!$A:$C,3,FALSE)="",
    "",
    VLOOKUP($A17,祝日!$A:$C,3,FALSE)
  ),
  ""
)</f>
        <v/>
      </c>
    </row>
    <row r="18" spans="1:4" ht="15.75" x14ac:dyDescent="0.25">
      <c r="A18" s="35">
        <v>43847</v>
      </c>
      <c r="B18" s="60">
        <v>8</v>
      </c>
      <c r="C18" s="36" t="str">
        <f>IFERROR(
  IF(
    VLOOKUP($A18,祝日!$A:$C,2,FALSE)="",
    "",
    VLOOKUP($A18,祝日!$A:$C,2,FALSE)
  ),
  ""
)</f>
        <v/>
      </c>
      <c r="D18" s="36" t="str">
        <f>IFERROR(
  IF(
    VLOOKUP($A18,祝日!$A:$C,3,FALSE)="",
    "",
    VLOOKUP($A18,祝日!$A:$C,3,FALSE)
  ),
  ""
)</f>
        <v/>
      </c>
    </row>
    <row r="19" spans="1:4" ht="15.75" x14ac:dyDescent="0.25">
      <c r="A19" s="35">
        <v>43848</v>
      </c>
      <c r="B19" s="60">
        <v>8</v>
      </c>
      <c r="C19" s="36" t="str">
        <f>IFERROR(
  IF(
    VLOOKUP($A19,祝日!$A:$C,2,FALSE)="",
    "",
    VLOOKUP($A19,祝日!$A:$C,2,FALSE)
  ),
  ""
)</f>
        <v/>
      </c>
      <c r="D19" s="36" t="str">
        <f>IFERROR(
  IF(
    VLOOKUP($A19,祝日!$A:$C,3,FALSE)="",
    "",
    VLOOKUP($A19,祝日!$A:$C,3,FALSE)
  ),
  ""
)</f>
        <v/>
      </c>
    </row>
    <row r="20" spans="1:4" ht="15.75" x14ac:dyDescent="0.25">
      <c r="A20" s="35">
        <v>43849</v>
      </c>
      <c r="B20" s="60">
        <v>8</v>
      </c>
      <c r="C20" s="36" t="str">
        <f>IFERROR(
  IF(
    VLOOKUP($A20,祝日!$A:$C,2,FALSE)="",
    "",
    VLOOKUP($A20,祝日!$A:$C,2,FALSE)
  ),
  ""
)</f>
        <v/>
      </c>
      <c r="D20" s="36" t="str">
        <f>IFERROR(
  IF(
    VLOOKUP($A20,祝日!$A:$C,3,FALSE)="",
    "",
    VLOOKUP($A20,祝日!$A:$C,3,FALSE)
  ),
  ""
)</f>
        <v/>
      </c>
    </row>
    <row r="21" spans="1:4" ht="15.75" x14ac:dyDescent="0.25">
      <c r="A21" s="35">
        <v>43850</v>
      </c>
      <c r="B21" s="60">
        <v>8</v>
      </c>
      <c r="C21" s="36" t="str">
        <f>IFERROR(
  IF(
    VLOOKUP($A21,祝日!$A:$C,2,FALSE)="",
    "",
    VLOOKUP($A21,祝日!$A:$C,2,FALSE)
  ),
  ""
)</f>
        <v/>
      </c>
      <c r="D21" s="36" t="str">
        <f>IFERROR(
  IF(
    VLOOKUP($A21,祝日!$A:$C,3,FALSE)="",
    "",
    VLOOKUP($A21,祝日!$A:$C,3,FALSE)
  ),
  ""
)</f>
        <v/>
      </c>
    </row>
    <row r="22" spans="1:4" ht="15.75" x14ac:dyDescent="0.25">
      <c r="A22" s="35">
        <v>43851</v>
      </c>
      <c r="B22" s="60">
        <v>8</v>
      </c>
      <c r="C22" s="36" t="str">
        <f>IFERROR(
  IF(
    VLOOKUP($A22,祝日!$A:$C,2,FALSE)="",
    "",
    VLOOKUP($A22,祝日!$A:$C,2,FALSE)
  ),
  ""
)</f>
        <v/>
      </c>
      <c r="D22" s="36" t="str">
        <f>IFERROR(
  IF(
    VLOOKUP($A22,祝日!$A:$C,3,FALSE)="",
    "",
    VLOOKUP($A22,祝日!$A:$C,3,FALSE)
  ),
  ""
)</f>
        <v/>
      </c>
    </row>
    <row r="23" spans="1:4" ht="15.75" x14ac:dyDescent="0.25">
      <c r="A23" s="35">
        <v>43852</v>
      </c>
      <c r="B23" s="60">
        <v>8</v>
      </c>
      <c r="C23" s="36" t="str">
        <f>IFERROR(
  IF(
    VLOOKUP($A23,祝日!$A:$C,2,FALSE)="",
    "",
    VLOOKUP($A23,祝日!$A:$C,2,FALSE)
  ),
  ""
)</f>
        <v/>
      </c>
      <c r="D23" s="36" t="str">
        <f>IFERROR(
  IF(
    VLOOKUP($A23,祝日!$A:$C,3,FALSE)="",
    "",
    VLOOKUP($A23,祝日!$A:$C,3,FALSE)
  ),
  ""
)</f>
        <v/>
      </c>
    </row>
    <row r="24" spans="1:4" ht="15.75" x14ac:dyDescent="0.25">
      <c r="A24" s="35">
        <v>43853</v>
      </c>
      <c r="B24" s="60">
        <v>8</v>
      </c>
      <c r="C24" s="36" t="str">
        <f>IFERROR(
  IF(
    VLOOKUP($A24,祝日!$A:$C,2,FALSE)="",
    "",
    VLOOKUP($A24,祝日!$A:$C,2,FALSE)
  ),
  ""
)</f>
        <v/>
      </c>
      <c r="D24" s="36" t="str">
        <f>IFERROR(
  IF(
    VLOOKUP($A24,祝日!$A:$C,3,FALSE)="",
    "",
    VLOOKUP($A24,祝日!$A:$C,3,FALSE)
  ),
  ""
)</f>
        <v/>
      </c>
    </row>
    <row r="25" spans="1:4" ht="15.75" x14ac:dyDescent="0.25">
      <c r="A25" s="35">
        <v>43854</v>
      </c>
      <c r="B25" s="60">
        <v>8</v>
      </c>
      <c r="C25" s="36" t="str">
        <f>IFERROR(
  IF(
    VLOOKUP($A25,祝日!$A:$C,2,FALSE)="",
    "",
    VLOOKUP($A25,祝日!$A:$C,2,FALSE)
  ),
  ""
)</f>
        <v/>
      </c>
      <c r="D25" s="36" t="str">
        <f>IFERROR(
  IF(
    VLOOKUP($A25,祝日!$A:$C,3,FALSE)="",
    "",
    VLOOKUP($A25,祝日!$A:$C,3,FALSE)
  ),
  ""
)</f>
        <v/>
      </c>
    </row>
    <row r="26" spans="1:4" ht="15.75" x14ac:dyDescent="0.25">
      <c r="A26" s="35">
        <v>43855</v>
      </c>
      <c r="B26" s="60">
        <v>8</v>
      </c>
      <c r="C26" s="36" t="str">
        <f>IFERROR(
  IF(
    VLOOKUP($A26,祝日!$A:$C,2,FALSE)="",
    "",
    VLOOKUP($A26,祝日!$A:$C,2,FALSE)
  ),
  ""
)</f>
        <v/>
      </c>
      <c r="D26" s="36" t="str">
        <f>IFERROR(
  IF(
    VLOOKUP($A26,祝日!$A:$C,3,FALSE)="",
    "",
    VLOOKUP($A26,祝日!$A:$C,3,FALSE)
  ),
  ""
)</f>
        <v/>
      </c>
    </row>
    <row r="27" spans="1:4" ht="15.75" x14ac:dyDescent="0.25">
      <c r="A27" s="35">
        <v>43856</v>
      </c>
      <c r="B27" s="60">
        <v>8</v>
      </c>
      <c r="C27" s="36" t="str">
        <f>IFERROR(
  IF(
    VLOOKUP($A27,祝日!$A:$C,2,FALSE)="",
    "",
    VLOOKUP($A27,祝日!$A:$C,2,FALSE)
  ),
  ""
)</f>
        <v/>
      </c>
      <c r="D27" s="36" t="str">
        <f>IFERROR(
  IF(
    VLOOKUP($A27,祝日!$A:$C,3,FALSE)="",
    "",
    VLOOKUP($A27,祝日!$A:$C,3,FALSE)
  ),
  ""
)</f>
        <v/>
      </c>
    </row>
    <row r="28" spans="1:4" ht="15.75" x14ac:dyDescent="0.25">
      <c r="A28" s="35">
        <v>43857</v>
      </c>
      <c r="B28" s="60">
        <v>8</v>
      </c>
      <c r="C28" s="36" t="str">
        <f>IFERROR(
  IF(
    VLOOKUP($A28,祝日!$A:$C,2,FALSE)="",
    "",
    VLOOKUP($A28,祝日!$A:$C,2,FALSE)
  ),
  ""
)</f>
        <v/>
      </c>
      <c r="D28" s="36" t="str">
        <f>IFERROR(
  IF(
    VLOOKUP($A28,祝日!$A:$C,3,FALSE)="",
    "",
    VLOOKUP($A28,祝日!$A:$C,3,FALSE)
  ),
  ""
)</f>
        <v/>
      </c>
    </row>
    <row r="29" spans="1:4" ht="15.75" x14ac:dyDescent="0.25">
      <c r="A29" s="35">
        <v>43858</v>
      </c>
      <c r="B29" s="60">
        <v>8</v>
      </c>
      <c r="C29" s="36" t="str">
        <f>IFERROR(
  IF(
    VLOOKUP($A29,祝日!$A:$C,2,FALSE)="",
    "",
    VLOOKUP($A29,祝日!$A:$C,2,FALSE)
  ),
  ""
)</f>
        <v/>
      </c>
      <c r="D29" s="36" t="str">
        <f>IFERROR(
  IF(
    VLOOKUP($A29,祝日!$A:$C,3,FALSE)="",
    "",
    VLOOKUP($A29,祝日!$A:$C,3,FALSE)
  ),
  ""
)</f>
        <v/>
      </c>
    </row>
    <row r="30" spans="1:4" ht="15.75" x14ac:dyDescent="0.25">
      <c r="A30" s="35">
        <v>43859</v>
      </c>
      <c r="B30" s="60">
        <v>8</v>
      </c>
      <c r="C30" s="36" t="str">
        <f>IFERROR(
  IF(
    VLOOKUP($A30,祝日!$A:$C,2,FALSE)="",
    "",
    VLOOKUP($A30,祝日!$A:$C,2,FALSE)
  ),
  ""
)</f>
        <v/>
      </c>
      <c r="D30" s="36" t="str">
        <f>IFERROR(
  IF(
    VLOOKUP($A30,祝日!$A:$C,3,FALSE)="",
    "",
    VLOOKUP($A30,祝日!$A:$C,3,FALSE)
  ),
  ""
)</f>
        <v/>
      </c>
    </row>
    <row r="31" spans="1:4" ht="15.75" x14ac:dyDescent="0.25">
      <c r="A31" s="35">
        <v>43860</v>
      </c>
      <c r="B31" s="60">
        <v>8</v>
      </c>
      <c r="C31" s="36" t="str">
        <f>IFERROR(
  IF(
    VLOOKUP($A31,祝日!$A:$C,2,FALSE)="",
    "",
    VLOOKUP($A31,祝日!$A:$C,2,FALSE)
  ),
  ""
)</f>
        <v/>
      </c>
      <c r="D31" s="36" t="str">
        <f>IFERROR(
  IF(
    VLOOKUP($A31,祝日!$A:$C,3,FALSE)="",
    "",
    VLOOKUP($A31,祝日!$A:$C,3,FALSE)
  ),
  ""
)</f>
        <v/>
      </c>
    </row>
    <row r="32" spans="1:4" ht="15.75" x14ac:dyDescent="0.25">
      <c r="A32" s="35">
        <v>43861</v>
      </c>
      <c r="B32" s="60">
        <v>8</v>
      </c>
      <c r="C32" s="36" t="str">
        <f>IFERROR(
  IF(
    VLOOKUP($A32,祝日!$A:$C,2,FALSE)="",
    "",
    VLOOKUP($A32,祝日!$A:$C,2,FALSE)
  ),
  ""
)</f>
        <v/>
      </c>
      <c r="D32" s="36" t="str">
        <f>IFERROR(
  IF(
    VLOOKUP($A32,祝日!$A:$C,3,FALSE)="",
    "",
    VLOOKUP($A32,祝日!$A:$C,3,FALSE)
  ),
  ""
)</f>
        <v/>
      </c>
    </row>
    <row r="33" spans="1:4" ht="15.75" x14ac:dyDescent="0.25">
      <c r="A33" s="35">
        <v>43862</v>
      </c>
      <c r="B33" s="60">
        <v>8</v>
      </c>
      <c r="C33" s="36" t="str">
        <f>IFERROR(
  IF(
    VLOOKUP($A33,祝日!$A:$C,2,FALSE)="",
    "",
    VLOOKUP($A33,祝日!$A:$C,2,FALSE)
  ),
  ""
)</f>
        <v/>
      </c>
      <c r="D33" s="36" t="str">
        <f>IFERROR(
  IF(
    VLOOKUP($A33,祝日!$A:$C,3,FALSE)="",
    "",
    VLOOKUP($A33,祝日!$A:$C,3,FALSE)
  ),
  ""
)</f>
        <v/>
      </c>
    </row>
    <row r="34" spans="1:4" ht="15.75" x14ac:dyDescent="0.25">
      <c r="A34" s="35">
        <v>43863</v>
      </c>
      <c r="B34" s="60">
        <v>8</v>
      </c>
      <c r="C34" s="36" t="str">
        <f>IFERROR(
  IF(
    VLOOKUP($A34,祝日!$A:$C,2,FALSE)="",
    "",
    VLOOKUP($A34,祝日!$A:$C,2,FALSE)
  ),
  ""
)</f>
        <v/>
      </c>
      <c r="D34" s="36" t="str">
        <f>IFERROR(
  IF(
    VLOOKUP($A34,祝日!$A:$C,3,FALSE)="",
    "",
    VLOOKUP($A34,祝日!$A:$C,3,FALSE)
  ),
  ""
)</f>
        <v/>
      </c>
    </row>
    <row r="35" spans="1:4" ht="15.75" x14ac:dyDescent="0.25">
      <c r="A35" s="35">
        <v>43864</v>
      </c>
      <c r="B35" s="60">
        <v>8</v>
      </c>
      <c r="C35" s="36" t="str">
        <f>IFERROR(
  IF(
    VLOOKUP($A35,祝日!$A:$C,2,FALSE)="",
    "",
    VLOOKUP($A35,祝日!$A:$C,2,FALSE)
  ),
  ""
)</f>
        <v/>
      </c>
      <c r="D35" s="36" t="str">
        <f>IFERROR(
  IF(
    VLOOKUP($A35,祝日!$A:$C,3,FALSE)="",
    "",
    VLOOKUP($A35,祝日!$A:$C,3,FALSE)
  ),
  ""
)</f>
        <v/>
      </c>
    </row>
    <row r="36" spans="1:4" ht="15.75" x14ac:dyDescent="0.25">
      <c r="A36" s="35">
        <v>43865</v>
      </c>
      <c r="B36" s="60">
        <v>8</v>
      </c>
      <c r="C36" s="36" t="str">
        <f>IFERROR(
  IF(
    VLOOKUP($A36,祝日!$A:$C,2,FALSE)="",
    "",
    VLOOKUP($A36,祝日!$A:$C,2,FALSE)
  ),
  ""
)</f>
        <v/>
      </c>
      <c r="D36" s="36" t="str">
        <f>IFERROR(
  IF(
    VLOOKUP($A36,祝日!$A:$C,3,FALSE)="",
    "",
    VLOOKUP($A36,祝日!$A:$C,3,FALSE)
  ),
  ""
)</f>
        <v/>
      </c>
    </row>
    <row r="37" spans="1:4" ht="15.75" x14ac:dyDescent="0.25">
      <c r="A37" s="35">
        <v>43866</v>
      </c>
      <c r="B37" s="60">
        <v>8</v>
      </c>
      <c r="C37" s="36" t="str">
        <f>IFERROR(
  IF(
    VLOOKUP($A37,祝日!$A:$C,2,FALSE)="",
    "",
    VLOOKUP($A37,祝日!$A:$C,2,FALSE)
  ),
  ""
)</f>
        <v/>
      </c>
      <c r="D37" s="36" t="str">
        <f>IFERROR(
  IF(
    VLOOKUP($A37,祝日!$A:$C,3,FALSE)="",
    "",
    VLOOKUP($A37,祝日!$A:$C,3,FALSE)
  ),
  ""
)</f>
        <v/>
      </c>
    </row>
    <row r="38" spans="1:4" ht="15.75" x14ac:dyDescent="0.25">
      <c r="A38" s="35">
        <v>43867</v>
      </c>
      <c r="B38" s="60">
        <v>8</v>
      </c>
      <c r="C38" s="36" t="str">
        <f>IFERROR(
  IF(
    VLOOKUP($A38,祝日!$A:$C,2,FALSE)="",
    "",
    VLOOKUP($A38,祝日!$A:$C,2,FALSE)
  ),
  ""
)</f>
        <v/>
      </c>
      <c r="D38" s="36" t="str">
        <f>IFERROR(
  IF(
    VLOOKUP($A38,祝日!$A:$C,3,FALSE)="",
    "",
    VLOOKUP($A38,祝日!$A:$C,3,FALSE)
  ),
  ""
)</f>
        <v/>
      </c>
    </row>
    <row r="39" spans="1:4" ht="15.75" x14ac:dyDescent="0.25">
      <c r="A39" s="35">
        <v>43868</v>
      </c>
      <c r="B39" s="60">
        <v>8</v>
      </c>
      <c r="C39" s="36" t="str">
        <f>IFERROR(
  IF(
    VLOOKUP($A39,祝日!$A:$C,2,FALSE)="",
    "",
    VLOOKUP($A39,祝日!$A:$C,2,FALSE)
  ),
  ""
)</f>
        <v/>
      </c>
      <c r="D39" s="36" t="str">
        <f>IFERROR(
  IF(
    VLOOKUP($A39,祝日!$A:$C,3,FALSE)="",
    "",
    VLOOKUP($A39,祝日!$A:$C,3,FALSE)
  ),
  ""
)</f>
        <v/>
      </c>
    </row>
    <row r="40" spans="1:4" ht="15.75" x14ac:dyDescent="0.25">
      <c r="A40" s="35">
        <v>43869</v>
      </c>
      <c r="B40" s="60">
        <v>8</v>
      </c>
      <c r="C40" s="36" t="str">
        <f>IFERROR(
  IF(
    VLOOKUP($A40,祝日!$A:$C,2,FALSE)="",
    "",
    VLOOKUP($A40,祝日!$A:$C,2,FALSE)
  ),
  ""
)</f>
        <v/>
      </c>
      <c r="D40" s="36" t="str">
        <f>IFERROR(
  IF(
    VLOOKUP($A40,祝日!$A:$C,3,FALSE)="",
    "",
    VLOOKUP($A40,祝日!$A:$C,3,FALSE)
  ),
  ""
)</f>
        <v/>
      </c>
    </row>
    <row r="41" spans="1:4" ht="15.75" x14ac:dyDescent="0.25">
      <c r="A41" s="35">
        <v>43870</v>
      </c>
      <c r="B41" s="60">
        <v>8</v>
      </c>
      <c r="C41" s="36" t="str">
        <f>IFERROR(
  IF(
    VLOOKUP($A41,祝日!$A:$C,2,FALSE)="",
    "",
    VLOOKUP($A41,祝日!$A:$C,2,FALSE)
  ),
  ""
)</f>
        <v/>
      </c>
      <c r="D41" s="36" t="str">
        <f>IFERROR(
  IF(
    VLOOKUP($A41,祝日!$A:$C,3,FALSE)="",
    "",
    VLOOKUP($A41,祝日!$A:$C,3,FALSE)
  ),
  ""
)</f>
        <v/>
      </c>
    </row>
    <row r="42" spans="1:4" ht="15.75" x14ac:dyDescent="0.25">
      <c r="A42" s="35">
        <v>43871</v>
      </c>
      <c r="B42" s="60">
        <v>8</v>
      </c>
      <c r="C42" s="36" t="str">
        <f>IFERROR(
  IF(
    VLOOKUP($A42,祝日!$A:$C,2,FALSE)="",
    "",
    VLOOKUP($A42,祝日!$A:$C,2,FALSE)
  ),
  ""
)</f>
        <v/>
      </c>
      <c r="D42" s="36" t="str">
        <f>IFERROR(
  IF(
    VLOOKUP($A42,祝日!$A:$C,3,FALSE)="",
    "",
    VLOOKUP($A42,祝日!$A:$C,3,FALSE)
  ),
  ""
)</f>
        <v/>
      </c>
    </row>
    <row r="43" spans="1:4" ht="15.75" x14ac:dyDescent="0.25">
      <c r="A43" s="35">
        <v>43872</v>
      </c>
      <c r="B43" s="60">
        <v>8</v>
      </c>
      <c r="C43" s="36" t="str">
        <f>IFERROR(
  IF(
    VLOOKUP($A43,祝日!$A:$C,2,FALSE)="",
    "",
    VLOOKUP($A43,祝日!$A:$C,2,FALSE)
  ),
  ""
)</f>
        <v xml:space="preserve">建国記念の日 </v>
      </c>
      <c r="D43" s="36" t="str">
        <f>IFERROR(
  IF(
    VLOOKUP($A43,祝日!$A:$C,3,FALSE)="",
    "",
    VLOOKUP($A43,祝日!$A:$C,3,FALSE)
  ),
  ""
)</f>
        <v/>
      </c>
    </row>
    <row r="44" spans="1:4" ht="15.75" x14ac:dyDescent="0.25">
      <c r="A44" s="35">
        <v>43873</v>
      </c>
      <c r="B44" s="60">
        <v>8</v>
      </c>
      <c r="C44" s="36" t="str">
        <f>IFERROR(
  IF(
    VLOOKUP($A44,祝日!$A:$C,2,FALSE)="",
    "",
    VLOOKUP($A44,祝日!$A:$C,2,FALSE)
  ),
  ""
)</f>
        <v/>
      </c>
      <c r="D44" s="36" t="str">
        <f>IFERROR(
  IF(
    VLOOKUP($A44,祝日!$A:$C,3,FALSE)="",
    "",
    VLOOKUP($A44,祝日!$A:$C,3,FALSE)
  ),
  ""
)</f>
        <v/>
      </c>
    </row>
    <row r="45" spans="1:4" ht="15.75" x14ac:dyDescent="0.25">
      <c r="A45" s="35">
        <v>43874</v>
      </c>
      <c r="B45" s="60">
        <v>8</v>
      </c>
      <c r="C45" s="36" t="str">
        <f>IFERROR(
  IF(
    VLOOKUP($A45,祝日!$A:$C,2,FALSE)="",
    "",
    VLOOKUP($A45,祝日!$A:$C,2,FALSE)
  ),
  ""
)</f>
        <v/>
      </c>
      <c r="D45" s="36" t="str">
        <f>IFERROR(
  IF(
    VLOOKUP($A45,祝日!$A:$C,3,FALSE)="",
    "",
    VLOOKUP($A45,祝日!$A:$C,3,FALSE)
  ),
  ""
)</f>
        <v/>
      </c>
    </row>
    <row r="46" spans="1:4" ht="15.75" x14ac:dyDescent="0.25">
      <c r="A46" s="35">
        <v>43875</v>
      </c>
      <c r="B46" s="60">
        <v>8</v>
      </c>
      <c r="C46" s="36" t="str">
        <f>IFERROR(
  IF(
    VLOOKUP($A46,祝日!$A:$C,2,FALSE)="",
    "",
    VLOOKUP($A46,祝日!$A:$C,2,FALSE)
  ),
  ""
)</f>
        <v/>
      </c>
      <c r="D46" s="36" t="str">
        <f>IFERROR(
  IF(
    VLOOKUP($A46,祝日!$A:$C,3,FALSE)="",
    "",
    VLOOKUP($A46,祝日!$A:$C,3,FALSE)
  ),
  ""
)</f>
        <v/>
      </c>
    </row>
    <row r="47" spans="1:4" ht="15.75" x14ac:dyDescent="0.25">
      <c r="A47" s="35">
        <v>43876</v>
      </c>
      <c r="B47" s="60">
        <v>8</v>
      </c>
      <c r="C47" s="36" t="str">
        <f>IFERROR(
  IF(
    VLOOKUP($A47,祝日!$A:$C,2,FALSE)="",
    "",
    VLOOKUP($A47,祝日!$A:$C,2,FALSE)
  ),
  ""
)</f>
        <v/>
      </c>
      <c r="D47" s="36" t="str">
        <f>IFERROR(
  IF(
    VLOOKUP($A47,祝日!$A:$C,3,FALSE)="",
    "",
    VLOOKUP($A47,祝日!$A:$C,3,FALSE)
  ),
  ""
)</f>
        <v/>
      </c>
    </row>
    <row r="48" spans="1:4" ht="15.75" x14ac:dyDescent="0.25">
      <c r="A48" s="35">
        <v>43877</v>
      </c>
      <c r="B48" s="60">
        <v>8</v>
      </c>
      <c r="C48" s="36" t="str">
        <f>IFERROR(
  IF(
    VLOOKUP($A48,祝日!$A:$C,2,FALSE)="",
    "",
    VLOOKUP($A48,祝日!$A:$C,2,FALSE)
  ),
  ""
)</f>
        <v/>
      </c>
      <c r="D48" s="36" t="str">
        <f>IFERROR(
  IF(
    VLOOKUP($A48,祝日!$A:$C,3,FALSE)="",
    "",
    VLOOKUP($A48,祝日!$A:$C,3,FALSE)
  ),
  ""
)</f>
        <v/>
      </c>
    </row>
    <row r="49" spans="1:4" ht="15.75" x14ac:dyDescent="0.25">
      <c r="A49" s="35">
        <v>43878</v>
      </c>
      <c r="B49" s="60">
        <v>8</v>
      </c>
      <c r="C49" s="36" t="str">
        <f>IFERROR(
  IF(
    VLOOKUP($A49,祝日!$A:$C,2,FALSE)="",
    "",
    VLOOKUP($A49,祝日!$A:$C,2,FALSE)
  ),
  ""
)</f>
        <v/>
      </c>
      <c r="D49" s="36" t="str">
        <f>IFERROR(
  IF(
    VLOOKUP($A49,祝日!$A:$C,3,FALSE)="",
    "",
    VLOOKUP($A49,祝日!$A:$C,3,FALSE)
  ),
  ""
)</f>
        <v/>
      </c>
    </row>
    <row r="50" spans="1:4" ht="15.75" x14ac:dyDescent="0.25">
      <c r="A50" s="35">
        <v>43879</v>
      </c>
      <c r="B50" s="60">
        <v>8</v>
      </c>
      <c r="C50" s="36" t="str">
        <f>IFERROR(
  IF(
    VLOOKUP($A50,祝日!$A:$C,2,FALSE)="",
    "",
    VLOOKUP($A50,祝日!$A:$C,2,FALSE)
  ),
  ""
)</f>
        <v/>
      </c>
      <c r="D50" s="36" t="str">
        <f>IFERROR(
  IF(
    VLOOKUP($A50,祝日!$A:$C,3,FALSE)="",
    "",
    VLOOKUP($A50,祝日!$A:$C,3,FALSE)
  ),
  ""
)</f>
        <v/>
      </c>
    </row>
    <row r="51" spans="1:4" ht="15.75" x14ac:dyDescent="0.25">
      <c r="A51" s="35">
        <v>43880</v>
      </c>
      <c r="B51" s="60">
        <v>8</v>
      </c>
      <c r="C51" s="36" t="str">
        <f>IFERROR(
  IF(
    VLOOKUP($A51,祝日!$A:$C,2,FALSE)="",
    "",
    VLOOKUP($A51,祝日!$A:$C,2,FALSE)
  ),
  ""
)</f>
        <v/>
      </c>
      <c r="D51" s="36" t="str">
        <f>IFERROR(
  IF(
    VLOOKUP($A51,祝日!$A:$C,3,FALSE)="",
    "",
    VLOOKUP($A51,祝日!$A:$C,3,FALSE)
  ),
  ""
)</f>
        <v/>
      </c>
    </row>
    <row r="52" spans="1:4" ht="15.75" x14ac:dyDescent="0.25">
      <c r="A52" s="35">
        <v>43881</v>
      </c>
      <c r="B52" s="60">
        <v>8</v>
      </c>
      <c r="C52" s="36" t="str">
        <f>IFERROR(
  IF(
    VLOOKUP($A52,祝日!$A:$C,2,FALSE)="",
    "",
    VLOOKUP($A52,祝日!$A:$C,2,FALSE)
  ),
  ""
)</f>
        <v/>
      </c>
      <c r="D52" s="36" t="str">
        <f>IFERROR(
  IF(
    VLOOKUP($A52,祝日!$A:$C,3,FALSE)="",
    "",
    VLOOKUP($A52,祝日!$A:$C,3,FALSE)
  ),
  ""
)</f>
        <v/>
      </c>
    </row>
    <row r="53" spans="1:4" ht="15.75" x14ac:dyDescent="0.25">
      <c r="A53" s="35">
        <v>43882</v>
      </c>
      <c r="B53" s="60">
        <v>8</v>
      </c>
      <c r="C53" s="36" t="str">
        <f>IFERROR(
  IF(
    VLOOKUP($A53,祝日!$A:$C,2,FALSE)="",
    "",
    VLOOKUP($A53,祝日!$A:$C,2,FALSE)
  ),
  ""
)</f>
        <v/>
      </c>
      <c r="D53" s="36" t="str">
        <f>IFERROR(
  IF(
    VLOOKUP($A53,祝日!$A:$C,3,FALSE)="",
    "",
    VLOOKUP($A53,祝日!$A:$C,3,FALSE)
  ),
  ""
)</f>
        <v/>
      </c>
    </row>
    <row r="54" spans="1:4" ht="15.75" x14ac:dyDescent="0.25">
      <c r="A54" s="35">
        <v>43883</v>
      </c>
      <c r="B54" s="60">
        <v>8</v>
      </c>
      <c r="C54" s="36" t="str">
        <f>IFERROR(
  IF(
    VLOOKUP($A54,祝日!$A:$C,2,FALSE)="",
    "",
    VLOOKUP($A54,祝日!$A:$C,2,FALSE)
  ),
  ""
)</f>
        <v/>
      </c>
      <c r="D54" s="36" t="str">
        <f>IFERROR(
  IF(
    VLOOKUP($A54,祝日!$A:$C,3,FALSE)="",
    "",
    VLOOKUP($A54,祝日!$A:$C,3,FALSE)
  ),
  ""
)</f>
        <v/>
      </c>
    </row>
    <row r="55" spans="1:4" ht="15.75" x14ac:dyDescent="0.25">
      <c r="A55" s="35">
        <v>43884</v>
      </c>
      <c r="B55" s="60">
        <v>8</v>
      </c>
      <c r="C55" s="36" t="str">
        <f>IFERROR(
  IF(
    VLOOKUP($A55,祝日!$A:$C,2,FALSE)="",
    "",
    VLOOKUP($A55,祝日!$A:$C,2,FALSE)
  ),
  ""
)</f>
        <v xml:space="preserve">天皇誕生日 </v>
      </c>
      <c r="D55" s="36" t="str">
        <f>IFERROR(
  IF(
    VLOOKUP($A55,祝日!$A:$C,3,FALSE)="",
    "",
    VLOOKUP($A55,祝日!$A:$C,3,FALSE)
  ),
  ""
)</f>
        <v/>
      </c>
    </row>
    <row r="56" spans="1:4" ht="15.75" x14ac:dyDescent="0.25">
      <c r="A56" s="35">
        <v>43885</v>
      </c>
      <c r="B56" s="60">
        <v>8</v>
      </c>
      <c r="C56" s="36" t="str">
        <f>IFERROR(
  IF(
    VLOOKUP($A56,祝日!$A:$C,2,FALSE)="",
    "",
    VLOOKUP($A56,祝日!$A:$C,2,FALSE)
  ),
  ""
)</f>
        <v xml:space="preserve">休日 </v>
      </c>
      <c r="D56" s="36" t="str">
        <f>IFERROR(
  IF(
    VLOOKUP($A56,祝日!$A:$C,3,FALSE)="",
    "",
    VLOOKUP($A56,祝日!$A:$C,3,FALSE)
  ),
  ""
)</f>
        <v>天皇誕生日の振り替え休日</v>
      </c>
    </row>
    <row r="57" spans="1:4" ht="15.75" x14ac:dyDescent="0.25">
      <c r="A57" s="35">
        <v>43886</v>
      </c>
      <c r="B57" s="60">
        <v>8</v>
      </c>
      <c r="C57" s="36" t="str">
        <f>IFERROR(
  IF(
    VLOOKUP($A57,祝日!$A:$C,2,FALSE)="",
    "",
    VLOOKUP($A57,祝日!$A:$C,2,FALSE)
  ),
  ""
)</f>
        <v/>
      </c>
      <c r="D57" s="36" t="str">
        <f>IFERROR(
  IF(
    VLOOKUP($A57,祝日!$A:$C,3,FALSE)="",
    "",
    VLOOKUP($A57,祝日!$A:$C,3,FALSE)
  ),
  ""
)</f>
        <v/>
      </c>
    </row>
    <row r="58" spans="1:4" ht="15.75" x14ac:dyDescent="0.25">
      <c r="A58" s="35">
        <v>43887</v>
      </c>
      <c r="B58" s="60">
        <v>8</v>
      </c>
      <c r="C58" s="36" t="str">
        <f>IFERROR(
  IF(
    VLOOKUP($A58,祝日!$A:$C,2,FALSE)="",
    "",
    VLOOKUP($A58,祝日!$A:$C,2,FALSE)
  ),
  ""
)</f>
        <v/>
      </c>
      <c r="D58" s="36" t="str">
        <f>IFERROR(
  IF(
    VLOOKUP($A58,祝日!$A:$C,3,FALSE)="",
    "",
    VLOOKUP($A58,祝日!$A:$C,3,FALSE)
  ),
  ""
)</f>
        <v/>
      </c>
    </row>
    <row r="59" spans="1:4" ht="15.75" x14ac:dyDescent="0.25">
      <c r="A59" s="35">
        <v>43888</v>
      </c>
      <c r="B59" s="60">
        <v>8</v>
      </c>
      <c r="C59" s="36" t="str">
        <f>IFERROR(
  IF(
    VLOOKUP($A59,祝日!$A:$C,2,FALSE)="",
    "",
    VLOOKUP($A59,祝日!$A:$C,2,FALSE)
  ),
  ""
)</f>
        <v/>
      </c>
      <c r="D59" s="36" t="str">
        <f>IFERROR(
  IF(
    VLOOKUP($A59,祝日!$A:$C,3,FALSE)="",
    "",
    VLOOKUP($A59,祝日!$A:$C,3,FALSE)
  ),
  ""
)</f>
        <v/>
      </c>
    </row>
    <row r="60" spans="1:4" ht="15.75" x14ac:dyDescent="0.25">
      <c r="A60" s="35">
        <v>43889</v>
      </c>
      <c r="B60" s="60">
        <v>8</v>
      </c>
      <c r="C60" s="36" t="str">
        <f>IFERROR(
  IF(
    VLOOKUP($A60,祝日!$A:$C,2,FALSE)="",
    "",
    VLOOKUP($A60,祝日!$A:$C,2,FALSE)
  ),
  ""
)</f>
        <v/>
      </c>
      <c r="D60" s="36" t="str">
        <f>IFERROR(
  IF(
    VLOOKUP($A60,祝日!$A:$C,3,FALSE)="",
    "",
    VLOOKUP($A60,祝日!$A:$C,3,FALSE)
  ),
  ""
)</f>
        <v/>
      </c>
    </row>
    <row r="61" spans="1:4" ht="15.75" x14ac:dyDescent="0.25">
      <c r="A61" s="35">
        <v>43890</v>
      </c>
      <c r="B61" s="60">
        <v>8</v>
      </c>
      <c r="C61" s="36" t="str">
        <f>IFERROR(
  IF(
    VLOOKUP($A61,祝日!$A:$C,2,FALSE)="",
    "",
    VLOOKUP($A61,祝日!$A:$C,2,FALSE)
  ),
  ""
)</f>
        <v/>
      </c>
      <c r="D61" s="36" t="str">
        <f>IFERROR(
  IF(
    VLOOKUP($A61,祝日!$A:$C,3,FALSE)="",
    "",
    VLOOKUP($A61,祝日!$A:$C,3,FALSE)
  ),
  ""
)</f>
        <v/>
      </c>
    </row>
    <row r="62" spans="1:4" ht="15.75" x14ac:dyDescent="0.25">
      <c r="A62" s="35">
        <v>43891</v>
      </c>
      <c r="B62" s="60">
        <v>8</v>
      </c>
      <c r="C62" s="36" t="str">
        <f>IFERROR(
  IF(
    VLOOKUP($A62,祝日!$A:$C,2,FALSE)="",
    "",
    VLOOKUP($A62,祝日!$A:$C,2,FALSE)
  ),
  ""
)</f>
        <v/>
      </c>
      <c r="D62" s="36" t="str">
        <f>IFERROR(
  IF(
    VLOOKUP($A62,祝日!$A:$C,3,FALSE)="",
    "",
    VLOOKUP($A62,祝日!$A:$C,3,FALSE)
  ),
  ""
)</f>
        <v/>
      </c>
    </row>
    <row r="63" spans="1:4" ht="15.75" x14ac:dyDescent="0.25">
      <c r="A63" s="35">
        <v>43892</v>
      </c>
      <c r="B63" s="60">
        <v>8</v>
      </c>
      <c r="C63" s="36" t="str">
        <f>IFERROR(
  IF(
    VLOOKUP($A63,祝日!$A:$C,2,FALSE)="",
    "",
    VLOOKUP($A63,祝日!$A:$C,2,FALSE)
  ),
  ""
)</f>
        <v/>
      </c>
      <c r="D63" s="36" t="str">
        <f>IFERROR(
  IF(
    VLOOKUP($A63,祝日!$A:$C,3,FALSE)="",
    "",
    VLOOKUP($A63,祝日!$A:$C,3,FALSE)
  ),
  ""
)</f>
        <v/>
      </c>
    </row>
    <row r="64" spans="1:4" ht="15.75" x14ac:dyDescent="0.25">
      <c r="A64" s="35">
        <v>43893</v>
      </c>
      <c r="B64" s="60">
        <v>8</v>
      </c>
      <c r="C64" s="36" t="str">
        <f>IFERROR(
  IF(
    VLOOKUP($A64,祝日!$A:$C,2,FALSE)="",
    "",
    VLOOKUP($A64,祝日!$A:$C,2,FALSE)
  ),
  ""
)</f>
        <v/>
      </c>
      <c r="D64" s="36" t="str">
        <f>IFERROR(
  IF(
    VLOOKUP($A64,祝日!$A:$C,3,FALSE)="",
    "",
    VLOOKUP($A64,祝日!$A:$C,3,FALSE)
  ),
  ""
)</f>
        <v/>
      </c>
    </row>
    <row r="65" spans="1:4" ht="15.75" x14ac:dyDescent="0.25">
      <c r="A65" s="35">
        <v>43894</v>
      </c>
      <c r="B65" s="60">
        <v>8</v>
      </c>
      <c r="C65" s="36" t="str">
        <f>IFERROR(
  IF(
    VLOOKUP($A65,祝日!$A:$C,2,FALSE)="",
    "",
    VLOOKUP($A65,祝日!$A:$C,2,FALSE)
  ),
  ""
)</f>
        <v/>
      </c>
      <c r="D65" s="36" t="str">
        <f>IFERROR(
  IF(
    VLOOKUP($A65,祝日!$A:$C,3,FALSE)="",
    "",
    VLOOKUP($A65,祝日!$A:$C,3,FALSE)
  ),
  ""
)</f>
        <v/>
      </c>
    </row>
    <row r="66" spans="1:4" ht="15.75" x14ac:dyDescent="0.25">
      <c r="A66" s="35">
        <v>43895</v>
      </c>
      <c r="B66" s="60">
        <v>8</v>
      </c>
      <c r="C66" s="36" t="str">
        <f>IFERROR(
  IF(
    VLOOKUP($A66,祝日!$A:$C,2,FALSE)="",
    "",
    VLOOKUP($A66,祝日!$A:$C,2,FALSE)
  ),
  ""
)</f>
        <v/>
      </c>
      <c r="D66" s="36" t="str">
        <f>IFERROR(
  IF(
    VLOOKUP($A66,祝日!$A:$C,3,FALSE)="",
    "",
    VLOOKUP($A66,祝日!$A:$C,3,FALSE)
  ),
  ""
)</f>
        <v/>
      </c>
    </row>
    <row r="67" spans="1:4" ht="15.75" x14ac:dyDescent="0.25">
      <c r="A67" s="35">
        <v>43896</v>
      </c>
      <c r="B67" s="60">
        <v>8</v>
      </c>
      <c r="C67" s="36" t="str">
        <f>IFERROR(
  IF(
    VLOOKUP($A67,祝日!$A:$C,2,FALSE)="",
    "",
    VLOOKUP($A67,祝日!$A:$C,2,FALSE)
  ),
  ""
)</f>
        <v/>
      </c>
      <c r="D67" s="36" t="str">
        <f>IFERROR(
  IF(
    VLOOKUP($A67,祝日!$A:$C,3,FALSE)="",
    "",
    VLOOKUP($A67,祝日!$A:$C,3,FALSE)
  ),
  ""
)</f>
        <v/>
      </c>
    </row>
    <row r="68" spans="1:4" ht="15.75" x14ac:dyDescent="0.25">
      <c r="A68" s="35">
        <v>43897</v>
      </c>
      <c r="B68" s="60">
        <v>8</v>
      </c>
      <c r="C68" s="36" t="str">
        <f>IFERROR(
  IF(
    VLOOKUP($A68,祝日!$A:$C,2,FALSE)="",
    "",
    VLOOKUP($A68,祝日!$A:$C,2,FALSE)
  ),
  ""
)</f>
        <v/>
      </c>
      <c r="D68" s="36" t="str">
        <f>IFERROR(
  IF(
    VLOOKUP($A68,祝日!$A:$C,3,FALSE)="",
    "",
    VLOOKUP($A68,祝日!$A:$C,3,FALSE)
  ),
  ""
)</f>
        <v/>
      </c>
    </row>
    <row r="69" spans="1:4" ht="15.75" x14ac:dyDescent="0.25">
      <c r="A69" s="35">
        <v>43898</v>
      </c>
      <c r="B69" s="60">
        <v>8</v>
      </c>
      <c r="C69" s="36" t="str">
        <f>IFERROR(
  IF(
    VLOOKUP($A69,祝日!$A:$C,2,FALSE)="",
    "",
    VLOOKUP($A69,祝日!$A:$C,2,FALSE)
  ),
  ""
)</f>
        <v/>
      </c>
      <c r="D69" s="36" t="str">
        <f>IFERROR(
  IF(
    VLOOKUP($A69,祝日!$A:$C,3,FALSE)="",
    "",
    VLOOKUP($A69,祝日!$A:$C,3,FALSE)
  ),
  ""
)</f>
        <v/>
      </c>
    </row>
    <row r="70" spans="1:4" ht="15.75" x14ac:dyDescent="0.25">
      <c r="A70" s="35">
        <v>43899</v>
      </c>
      <c r="B70" s="60">
        <v>8</v>
      </c>
      <c r="C70" s="36" t="str">
        <f>IFERROR(
  IF(
    VLOOKUP($A70,祝日!$A:$C,2,FALSE)="",
    "",
    VLOOKUP($A70,祝日!$A:$C,2,FALSE)
  ),
  ""
)</f>
        <v/>
      </c>
      <c r="D70" s="36" t="str">
        <f>IFERROR(
  IF(
    VLOOKUP($A70,祝日!$A:$C,3,FALSE)="",
    "",
    VLOOKUP($A70,祝日!$A:$C,3,FALSE)
  ),
  ""
)</f>
        <v/>
      </c>
    </row>
    <row r="71" spans="1:4" ht="15.75" x14ac:dyDescent="0.25">
      <c r="A71" s="35">
        <v>43900</v>
      </c>
      <c r="B71" s="60">
        <v>8</v>
      </c>
      <c r="C71" s="36" t="str">
        <f>IFERROR(
  IF(
    VLOOKUP($A71,祝日!$A:$C,2,FALSE)="",
    "",
    VLOOKUP($A71,祝日!$A:$C,2,FALSE)
  ),
  ""
)</f>
        <v/>
      </c>
      <c r="D71" s="36" t="str">
        <f>IFERROR(
  IF(
    VLOOKUP($A71,祝日!$A:$C,3,FALSE)="",
    "",
    VLOOKUP($A71,祝日!$A:$C,3,FALSE)
  ),
  ""
)</f>
        <v/>
      </c>
    </row>
    <row r="72" spans="1:4" ht="15.75" x14ac:dyDescent="0.25">
      <c r="A72" s="35">
        <v>43901</v>
      </c>
      <c r="B72" s="60">
        <v>8</v>
      </c>
      <c r="C72" s="36" t="str">
        <f>IFERROR(
  IF(
    VLOOKUP($A72,祝日!$A:$C,2,FALSE)="",
    "",
    VLOOKUP($A72,祝日!$A:$C,2,FALSE)
  ),
  ""
)</f>
        <v/>
      </c>
      <c r="D72" s="36" t="str">
        <f>IFERROR(
  IF(
    VLOOKUP($A72,祝日!$A:$C,3,FALSE)="",
    "",
    VLOOKUP($A72,祝日!$A:$C,3,FALSE)
  ),
  ""
)</f>
        <v/>
      </c>
    </row>
    <row r="73" spans="1:4" ht="15.75" x14ac:dyDescent="0.25">
      <c r="A73" s="35">
        <v>43902</v>
      </c>
      <c r="B73" s="60">
        <v>8</v>
      </c>
      <c r="C73" s="36" t="str">
        <f>IFERROR(
  IF(
    VLOOKUP($A73,祝日!$A:$C,2,FALSE)="",
    "",
    VLOOKUP($A73,祝日!$A:$C,2,FALSE)
  ),
  ""
)</f>
        <v/>
      </c>
      <c r="D73" s="36" t="str">
        <f>IFERROR(
  IF(
    VLOOKUP($A73,祝日!$A:$C,3,FALSE)="",
    "",
    VLOOKUP($A73,祝日!$A:$C,3,FALSE)
  ),
  ""
)</f>
        <v/>
      </c>
    </row>
    <row r="74" spans="1:4" ht="15.75" x14ac:dyDescent="0.25">
      <c r="A74" s="35">
        <v>43903</v>
      </c>
      <c r="B74" s="60">
        <v>8</v>
      </c>
      <c r="C74" s="36" t="str">
        <f>IFERROR(
  IF(
    VLOOKUP($A74,祝日!$A:$C,2,FALSE)="",
    "",
    VLOOKUP($A74,祝日!$A:$C,2,FALSE)
  ),
  ""
)</f>
        <v/>
      </c>
      <c r="D74" s="36" t="str">
        <f>IFERROR(
  IF(
    VLOOKUP($A74,祝日!$A:$C,3,FALSE)="",
    "",
    VLOOKUP($A74,祝日!$A:$C,3,FALSE)
  ),
  ""
)</f>
        <v/>
      </c>
    </row>
    <row r="75" spans="1:4" ht="15.75" x14ac:dyDescent="0.25">
      <c r="A75" s="35">
        <v>43904</v>
      </c>
      <c r="B75" s="60">
        <v>8</v>
      </c>
      <c r="C75" s="36" t="str">
        <f>IFERROR(
  IF(
    VLOOKUP($A75,祝日!$A:$C,2,FALSE)="",
    "",
    VLOOKUP($A75,祝日!$A:$C,2,FALSE)
  ),
  ""
)</f>
        <v/>
      </c>
      <c r="D75" s="36" t="str">
        <f>IFERROR(
  IF(
    VLOOKUP($A75,祝日!$A:$C,3,FALSE)="",
    "",
    VLOOKUP($A75,祝日!$A:$C,3,FALSE)
  ),
  ""
)</f>
        <v/>
      </c>
    </row>
    <row r="76" spans="1:4" ht="15.75" x14ac:dyDescent="0.25">
      <c r="A76" s="35">
        <v>43905</v>
      </c>
      <c r="B76" s="60">
        <v>8</v>
      </c>
      <c r="C76" s="36" t="str">
        <f>IFERROR(
  IF(
    VLOOKUP($A76,祝日!$A:$C,2,FALSE)="",
    "",
    VLOOKUP($A76,祝日!$A:$C,2,FALSE)
  ),
  ""
)</f>
        <v/>
      </c>
      <c r="D76" s="36" t="str">
        <f>IFERROR(
  IF(
    VLOOKUP($A76,祝日!$A:$C,3,FALSE)="",
    "",
    VLOOKUP($A76,祝日!$A:$C,3,FALSE)
  ),
  ""
)</f>
        <v/>
      </c>
    </row>
    <row r="77" spans="1:4" ht="15.75" x14ac:dyDescent="0.25">
      <c r="A77" s="35">
        <v>43906</v>
      </c>
      <c r="B77" s="60">
        <v>8</v>
      </c>
      <c r="C77" s="36" t="str">
        <f>IFERROR(
  IF(
    VLOOKUP($A77,祝日!$A:$C,2,FALSE)="",
    "",
    VLOOKUP($A77,祝日!$A:$C,2,FALSE)
  ),
  ""
)</f>
        <v/>
      </c>
      <c r="D77" s="36" t="str">
        <f>IFERROR(
  IF(
    VLOOKUP($A77,祝日!$A:$C,3,FALSE)="",
    "",
    VLOOKUP($A77,祝日!$A:$C,3,FALSE)
  ),
  ""
)</f>
        <v/>
      </c>
    </row>
    <row r="78" spans="1:4" ht="15.75" x14ac:dyDescent="0.25">
      <c r="A78" s="35">
        <v>43907</v>
      </c>
      <c r="B78" s="60">
        <v>8</v>
      </c>
      <c r="C78" s="36" t="str">
        <f>IFERROR(
  IF(
    VLOOKUP($A78,祝日!$A:$C,2,FALSE)="",
    "",
    VLOOKUP($A78,祝日!$A:$C,2,FALSE)
  ),
  ""
)</f>
        <v/>
      </c>
      <c r="D78" s="36" t="str">
        <f>IFERROR(
  IF(
    VLOOKUP($A78,祝日!$A:$C,3,FALSE)="",
    "",
    VLOOKUP($A78,祝日!$A:$C,3,FALSE)
  ),
  ""
)</f>
        <v/>
      </c>
    </row>
    <row r="79" spans="1:4" ht="15.75" x14ac:dyDescent="0.25">
      <c r="A79" s="35">
        <v>43908</v>
      </c>
      <c r="B79" s="60">
        <v>8</v>
      </c>
      <c r="C79" s="36" t="str">
        <f>IFERROR(
  IF(
    VLOOKUP($A79,祝日!$A:$C,2,FALSE)="",
    "",
    VLOOKUP($A79,祝日!$A:$C,2,FALSE)
  ),
  ""
)</f>
        <v/>
      </c>
      <c r="D79" s="36" t="str">
        <f>IFERROR(
  IF(
    VLOOKUP($A79,祝日!$A:$C,3,FALSE)="",
    "",
    VLOOKUP($A79,祝日!$A:$C,3,FALSE)
  ),
  ""
)</f>
        <v/>
      </c>
    </row>
    <row r="80" spans="1:4" ht="15.75" x14ac:dyDescent="0.25">
      <c r="A80" s="35">
        <v>43909</v>
      </c>
      <c r="B80" s="60">
        <v>8</v>
      </c>
      <c r="C80" s="36" t="str">
        <f>IFERROR(
  IF(
    VLOOKUP($A80,祝日!$A:$C,2,FALSE)="",
    "",
    VLOOKUP($A80,祝日!$A:$C,2,FALSE)
  ),
  ""
)</f>
        <v/>
      </c>
      <c r="D80" s="36" t="str">
        <f>IFERROR(
  IF(
    VLOOKUP($A80,祝日!$A:$C,3,FALSE)="",
    "",
    VLOOKUP($A80,祝日!$A:$C,3,FALSE)
  ),
  ""
)</f>
        <v/>
      </c>
    </row>
    <row r="81" spans="1:4" ht="15.75" x14ac:dyDescent="0.25">
      <c r="A81" s="35">
        <v>43910</v>
      </c>
      <c r="B81" s="60">
        <v>8</v>
      </c>
      <c r="C81" s="36" t="str">
        <f>IFERROR(
  IF(
    VLOOKUP($A81,祝日!$A:$C,2,FALSE)="",
    "",
    VLOOKUP($A81,祝日!$A:$C,2,FALSE)
  ),
  ""
)</f>
        <v xml:space="preserve">春分の日 </v>
      </c>
      <c r="D81" s="36" t="str">
        <f>IFERROR(
  IF(
    VLOOKUP($A81,祝日!$A:$C,3,FALSE)="",
    "",
    VLOOKUP($A81,祝日!$A:$C,3,FALSE)
  ),
  ""
)</f>
        <v/>
      </c>
    </row>
    <row r="82" spans="1:4" ht="15.75" x14ac:dyDescent="0.25">
      <c r="A82" s="35">
        <v>43911</v>
      </c>
      <c r="B82" s="60">
        <v>8</v>
      </c>
      <c r="C82" s="36" t="str">
        <f>IFERROR(
  IF(
    VLOOKUP($A82,祝日!$A:$C,2,FALSE)="",
    "",
    VLOOKUP($A82,祝日!$A:$C,2,FALSE)
  ),
  ""
)</f>
        <v/>
      </c>
      <c r="D82" s="36" t="str">
        <f>IFERROR(
  IF(
    VLOOKUP($A82,祝日!$A:$C,3,FALSE)="",
    "",
    VLOOKUP($A82,祝日!$A:$C,3,FALSE)
  ),
  ""
)</f>
        <v/>
      </c>
    </row>
    <row r="83" spans="1:4" ht="15.75" x14ac:dyDescent="0.25">
      <c r="A83" s="35">
        <v>43912</v>
      </c>
      <c r="B83" s="60">
        <v>8</v>
      </c>
      <c r="C83" s="36" t="str">
        <f>IFERROR(
  IF(
    VLOOKUP($A83,祝日!$A:$C,2,FALSE)="",
    "",
    VLOOKUP($A83,祝日!$A:$C,2,FALSE)
  ),
  ""
)</f>
        <v/>
      </c>
      <c r="D83" s="36" t="str">
        <f>IFERROR(
  IF(
    VLOOKUP($A83,祝日!$A:$C,3,FALSE)="",
    "",
    VLOOKUP($A83,祝日!$A:$C,3,FALSE)
  ),
  ""
)</f>
        <v/>
      </c>
    </row>
    <row r="84" spans="1:4" ht="15.75" x14ac:dyDescent="0.25">
      <c r="A84" s="35">
        <v>43913</v>
      </c>
      <c r="B84" s="60">
        <v>8</v>
      </c>
      <c r="C84" s="36" t="str">
        <f>IFERROR(
  IF(
    VLOOKUP($A84,祝日!$A:$C,2,FALSE)="",
    "",
    VLOOKUP($A84,祝日!$A:$C,2,FALSE)
  ),
  ""
)</f>
        <v/>
      </c>
      <c r="D84" s="36" t="str">
        <f>IFERROR(
  IF(
    VLOOKUP($A84,祝日!$A:$C,3,FALSE)="",
    "",
    VLOOKUP($A84,祝日!$A:$C,3,FALSE)
  ),
  ""
)</f>
        <v/>
      </c>
    </row>
    <row r="85" spans="1:4" ht="15.75" x14ac:dyDescent="0.25">
      <c r="A85" s="35">
        <v>43914</v>
      </c>
      <c r="B85" s="60">
        <v>8</v>
      </c>
      <c r="C85" s="36" t="str">
        <f>IFERROR(
  IF(
    VLOOKUP($A85,祝日!$A:$C,2,FALSE)="",
    "",
    VLOOKUP($A85,祝日!$A:$C,2,FALSE)
  ),
  ""
)</f>
        <v/>
      </c>
      <c r="D85" s="36" t="str">
        <f>IFERROR(
  IF(
    VLOOKUP($A85,祝日!$A:$C,3,FALSE)="",
    "",
    VLOOKUP($A85,祝日!$A:$C,3,FALSE)
  ),
  ""
)</f>
        <v/>
      </c>
    </row>
    <row r="86" spans="1:4" ht="15.75" x14ac:dyDescent="0.25">
      <c r="A86" s="35">
        <v>43915</v>
      </c>
      <c r="B86" s="60">
        <v>8</v>
      </c>
      <c r="C86" s="36" t="str">
        <f>IFERROR(
  IF(
    VLOOKUP($A86,祝日!$A:$C,2,FALSE)="",
    "",
    VLOOKUP($A86,祝日!$A:$C,2,FALSE)
  ),
  ""
)</f>
        <v/>
      </c>
      <c r="D86" s="36" t="str">
        <f>IFERROR(
  IF(
    VLOOKUP($A86,祝日!$A:$C,3,FALSE)="",
    "",
    VLOOKUP($A86,祝日!$A:$C,3,FALSE)
  ),
  ""
)</f>
        <v/>
      </c>
    </row>
    <row r="87" spans="1:4" ht="15.75" x14ac:dyDescent="0.25">
      <c r="A87" s="35">
        <v>43916</v>
      </c>
      <c r="B87" s="60">
        <v>8</v>
      </c>
      <c r="C87" s="36" t="str">
        <f>IFERROR(
  IF(
    VLOOKUP($A87,祝日!$A:$C,2,FALSE)="",
    "",
    VLOOKUP($A87,祝日!$A:$C,2,FALSE)
  ),
  ""
)</f>
        <v/>
      </c>
      <c r="D87" s="36" t="str">
        <f>IFERROR(
  IF(
    VLOOKUP($A87,祝日!$A:$C,3,FALSE)="",
    "",
    VLOOKUP($A87,祝日!$A:$C,3,FALSE)
  ),
  ""
)</f>
        <v/>
      </c>
    </row>
    <row r="88" spans="1:4" ht="15.75" x14ac:dyDescent="0.25">
      <c r="A88" s="35">
        <v>43917</v>
      </c>
      <c r="B88" s="60">
        <v>8</v>
      </c>
      <c r="C88" s="36" t="str">
        <f>IFERROR(
  IF(
    VLOOKUP($A88,祝日!$A:$C,2,FALSE)="",
    "",
    VLOOKUP($A88,祝日!$A:$C,2,FALSE)
  ),
  ""
)</f>
        <v/>
      </c>
      <c r="D88" s="36" t="str">
        <f>IFERROR(
  IF(
    VLOOKUP($A88,祝日!$A:$C,3,FALSE)="",
    "",
    VLOOKUP($A88,祝日!$A:$C,3,FALSE)
  ),
  ""
)</f>
        <v/>
      </c>
    </row>
    <row r="89" spans="1:4" ht="15.75" x14ac:dyDescent="0.25">
      <c r="A89" s="35">
        <v>43918</v>
      </c>
      <c r="B89" s="60">
        <v>8</v>
      </c>
      <c r="C89" s="36" t="str">
        <f>IFERROR(
  IF(
    VLOOKUP($A89,祝日!$A:$C,2,FALSE)="",
    "",
    VLOOKUP($A89,祝日!$A:$C,2,FALSE)
  ),
  ""
)</f>
        <v/>
      </c>
      <c r="D89" s="36" t="str">
        <f>IFERROR(
  IF(
    VLOOKUP($A89,祝日!$A:$C,3,FALSE)="",
    "",
    VLOOKUP($A89,祝日!$A:$C,3,FALSE)
  ),
  ""
)</f>
        <v/>
      </c>
    </row>
    <row r="90" spans="1:4" ht="15.75" x14ac:dyDescent="0.25">
      <c r="A90" s="35">
        <v>43919</v>
      </c>
      <c r="B90" s="60">
        <v>8</v>
      </c>
      <c r="C90" s="36" t="str">
        <f>IFERROR(
  IF(
    VLOOKUP($A90,祝日!$A:$C,2,FALSE)="",
    "",
    VLOOKUP($A90,祝日!$A:$C,2,FALSE)
  ),
  ""
)</f>
        <v/>
      </c>
      <c r="D90" s="36" t="str">
        <f>IFERROR(
  IF(
    VLOOKUP($A90,祝日!$A:$C,3,FALSE)="",
    "",
    VLOOKUP($A90,祝日!$A:$C,3,FALSE)
  ),
  ""
)</f>
        <v/>
      </c>
    </row>
    <row r="91" spans="1:4" ht="15.75" x14ac:dyDescent="0.25">
      <c r="A91" s="35">
        <v>43920</v>
      </c>
      <c r="B91" s="60">
        <v>8</v>
      </c>
      <c r="C91" s="36" t="str">
        <f>IFERROR(
  IF(
    VLOOKUP($A91,祝日!$A:$C,2,FALSE)="",
    "",
    VLOOKUP($A91,祝日!$A:$C,2,FALSE)
  ),
  ""
)</f>
        <v/>
      </c>
      <c r="D91" s="36" t="str">
        <f>IFERROR(
  IF(
    VLOOKUP($A91,祝日!$A:$C,3,FALSE)="",
    "",
    VLOOKUP($A91,祝日!$A:$C,3,FALSE)
  ),
  ""
)</f>
        <v/>
      </c>
    </row>
    <row r="92" spans="1:4" ht="15.75" x14ac:dyDescent="0.25">
      <c r="A92" s="35">
        <v>43921</v>
      </c>
      <c r="B92" s="60">
        <v>8</v>
      </c>
      <c r="C92" s="36" t="str">
        <f>IFERROR(
  IF(
    VLOOKUP($A92,祝日!$A:$C,2,FALSE)="",
    "",
    VLOOKUP($A92,祝日!$A:$C,2,FALSE)
  ),
  ""
)</f>
        <v/>
      </c>
      <c r="D92" s="36" t="str">
        <f>IFERROR(
  IF(
    VLOOKUP($A92,祝日!$A:$C,3,FALSE)="",
    "",
    VLOOKUP($A92,祝日!$A:$C,3,FALSE)
  ),
  ""
)</f>
        <v/>
      </c>
    </row>
    <row r="93" spans="1:4" ht="15.75" x14ac:dyDescent="0.25">
      <c r="A93" s="35">
        <v>43922</v>
      </c>
      <c r="B93" s="60">
        <v>8</v>
      </c>
      <c r="C93" s="36" t="str">
        <f>IFERROR(
  IF(
    VLOOKUP($A93,祝日!$A:$C,2,FALSE)="",
    "",
    VLOOKUP($A93,祝日!$A:$C,2,FALSE)
  ),
  ""
)</f>
        <v/>
      </c>
      <c r="D93" s="36" t="str">
        <f>IFERROR(
  IF(
    VLOOKUP($A93,祝日!$A:$C,3,FALSE)="",
    "",
    VLOOKUP($A93,祝日!$A:$C,3,FALSE)
  ),
  ""
)</f>
        <v/>
      </c>
    </row>
    <row r="94" spans="1:4" ht="15.75" x14ac:dyDescent="0.25">
      <c r="A94" s="35">
        <v>43923</v>
      </c>
      <c r="B94" s="60">
        <v>8</v>
      </c>
      <c r="C94" s="36" t="str">
        <f>IFERROR(
  IF(
    VLOOKUP($A94,祝日!$A:$C,2,FALSE)="",
    "",
    VLOOKUP($A94,祝日!$A:$C,2,FALSE)
  ),
  ""
)</f>
        <v/>
      </c>
      <c r="D94" s="36" t="str">
        <f>IFERROR(
  IF(
    VLOOKUP($A94,祝日!$A:$C,3,FALSE)="",
    "",
    VLOOKUP($A94,祝日!$A:$C,3,FALSE)
  ),
  ""
)</f>
        <v/>
      </c>
    </row>
    <row r="95" spans="1:4" ht="15.75" x14ac:dyDescent="0.25">
      <c r="A95" s="35">
        <v>43924</v>
      </c>
      <c r="B95" s="60">
        <v>8</v>
      </c>
      <c r="C95" s="36" t="str">
        <f>IFERROR(
  IF(
    VLOOKUP($A95,祝日!$A:$C,2,FALSE)="",
    "",
    VLOOKUP($A95,祝日!$A:$C,2,FALSE)
  ),
  ""
)</f>
        <v/>
      </c>
      <c r="D95" s="36" t="str">
        <f>IFERROR(
  IF(
    VLOOKUP($A95,祝日!$A:$C,3,FALSE)="",
    "",
    VLOOKUP($A95,祝日!$A:$C,3,FALSE)
  ),
  ""
)</f>
        <v/>
      </c>
    </row>
    <row r="96" spans="1:4" ht="15.75" x14ac:dyDescent="0.25">
      <c r="A96" s="35">
        <v>43925</v>
      </c>
      <c r="B96" s="60">
        <v>8</v>
      </c>
      <c r="C96" s="36" t="str">
        <f>IFERROR(
  IF(
    VLOOKUP($A96,祝日!$A:$C,2,FALSE)="",
    "",
    VLOOKUP($A96,祝日!$A:$C,2,FALSE)
  ),
  ""
)</f>
        <v/>
      </c>
      <c r="D96" s="36" t="str">
        <f>IFERROR(
  IF(
    VLOOKUP($A96,祝日!$A:$C,3,FALSE)="",
    "",
    VLOOKUP($A96,祝日!$A:$C,3,FALSE)
  ),
  ""
)</f>
        <v/>
      </c>
    </row>
    <row r="97" spans="1:4" ht="15.75" x14ac:dyDescent="0.25">
      <c r="A97" s="35">
        <v>43926</v>
      </c>
      <c r="B97" s="60">
        <v>8</v>
      </c>
      <c r="C97" s="36" t="str">
        <f>IFERROR(
  IF(
    VLOOKUP($A97,祝日!$A:$C,2,FALSE)="",
    "",
    VLOOKUP($A97,祝日!$A:$C,2,FALSE)
  ),
  ""
)</f>
        <v/>
      </c>
      <c r="D97" s="36" t="str">
        <f>IFERROR(
  IF(
    VLOOKUP($A97,祝日!$A:$C,3,FALSE)="",
    "",
    VLOOKUP($A97,祝日!$A:$C,3,FALSE)
  ),
  ""
)</f>
        <v/>
      </c>
    </row>
    <row r="98" spans="1:4" ht="15.75" x14ac:dyDescent="0.25">
      <c r="A98" s="35">
        <v>43927</v>
      </c>
      <c r="B98" s="60">
        <v>8</v>
      </c>
      <c r="C98" s="36" t="str">
        <f>IFERROR(
  IF(
    VLOOKUP($A98,祝日!$A:$C,2,FALSE)="",
    "",
    VLOOKUP($A98,祝日!$A:$C,2,FALSE)
  ),
  ""
)</f>
        <v/>
      </c>
      <c r="D98" s="36" t="str">
        <f>IFERROR(
  IF(
    VLOOKUP($A98,祝日!$A:$C,3,FALSE)="",
    "",
    VLOOKUP($A98,祝日!$A:$C,3,FALSE)
  ),
  ""
)</f>
        <v/>
      </c>
    </row>
    <row r="99" spans="1:4" ht="15.75" x14ac:dyDescent="0.25">
      <c r="A99" s="35">
        <v>43928</v>
      </c>
      <c r="B99" s="60">
        <v>8</v>
      </c>
      <c r="C99" s="36" t="str">
        <f>IFERROR(
  IF(
    VLOOKUP($A99,祝日!$A:$C,2,FALSE)="",
    "",
    VLOOKUP($A99,祝日!$A:$C,2,FALSE)
  ),
  ""
)</f>
        <v/>
      </c>
      <c r="D99" s="36" t="str">
        <f>IFERROR(
  IF(
    VLOOKUP($A99,祝日!$A:$C,3,FALSE)="",
    "",
    VLOOKUP($A99,祝日!$A:$C,3,FALSE)
  ),
  ""
)</f>
        <v/>
      </c>
    </row>
    <row r="100" spans="1:4" ht="15.75" x14ac:dyDescent="0.25">
      <c r="A100" s="35">
        <v>43929</v>
      </c>
      <c r="B100" s="60">
        <v>8</v>
      </c>
      <c r="C100" s="36" t="str">
        <f>IFERROR(
  IF(
    VLOOKUP($A100,祝日!$A:$C,2,FALSE)="",
    "",
    VLOOKUP($A100,祝日!$A:$C,2,FALSE)
  ),
  ""
)</f>
        <v/>
      </c>
      <c r="D100" s="36" t="str">
        <f>IFERROR(
  IF(
    VLOOKUP($A100,祝日!$A:$C,3,FALSE)="",
    "",
    VLOOKUP($A100,祝日!$A:$C,3,FALSE)
  ),
  ""
)</f>
        <v/>
      </c>
    </row>
    <row r="101" spans="1:4" ht="15.75" x14ac:dyDescent="0.25">
      <c r="A101" s="35">
        <v>43930</v>
      </c>
      <c r="B101" s="60">
        <v>8</v>
      </c>
      <c r="C101" s="36" t="str">
        <f>IFERROR(
  IF(
    VLOOKUP($A101,祝日!$A:$C,2,FALSE)="",
    "",
    VLOOKUP($A101,祝日!$A:$C,2,FALSE)
  ),
  ""
)</f>
        <v/>
      </c>
      <c r="D101" s="36" t="str">
        <f>IFERROR(
  IF(
    VLOOKUP($A101,祝日!$A:$C,3,FALSE)="",
    "",
    VLOOKUP($A101,祝日!$A:$C,3,FALSE)
  ),
  ""
)</f>
        <v/>
      </c>
    </row>
    <row r="102" spans="1:4" ht="15.75" x14ac:dyDescent="0.25">
      <c r="A102" s="35">
        <v>43931</v>
      </c>
      <c r="B102" s="60">
        <v>8</v>
      </c>
      <c r="C102" s="36" t="str">
        <f>IFERROR(
  IF(
    VLOOKUP($A102,祝日!$A:$C,2,FALSE)="",
    "",
    VLOOKUP($A102,祝日!$A:$C,2,FALSE)
  ),
  ""
)</f>
        <v/>
      </c>
      <c r="D102" s="36" t="str">
        <f>IFERROR(
  IF(
    VLOOKUP($A102,祝日!$A:$C,3,FALSE)="",
    "",
    VLOOKUP($A102,祝日!$A:$C,3,FALSE)
  ),
  ""
)</f>
        <v/>
      </c>
    </row>
    <row r="103" spans="1:4" ht="15.75" x14ac:dyDescent="0.25">
      <c r="A103" s="35">
        <v>43932</v>
      </c>
      <c r="B103" s="60">
        <v>8</v>
      </c>
      <c r="C103" s="36" t="str">
        <f>IFERROR(
  IF(
    VLOOKUP($A103,祝日!$A:$C,2,FALSE)="",
    "",
    VLOOKUP($A103,祝日!$A:$C,2,FALSE)
  ),
  ""
)</f>
        <v/>
      </c>
      <c r="D103" s="36" t="str">
        <f>IFERROR(
  IF(
    VLOOKUP($A103,祝日!$A:$C,3,FALSE)="",
    "",
    VLOOKUP($A103,祝日!$A:$C,3,FALSE)
  ),
  ""
)</f>
        <v/>
      </c>
    </row>
    <row r="104" spans="1:4" ht="15.75" x14ac:dyDescent="0.25">
      <c r="A104" s="35">
        <v>43933</v>
      </c>
      <c r="B104" s="60">
        <v>8</v>
      </c>
      <c r="C104" s="36" t="str">
        <f>IFERROR(
  IF(
    VLOOKUP($A104,祝日!$A:$C,2,FALSE)="",
    "",
    VLOOKUP($A104,祝日!$A:$C,2,FALSE)
  ),
  ""
)</f>
        <v/>
      </c>
      <c r="D104" s="36" t="str">
        <f>IFERROR(
  IF(
    VLOOKUP($A104,祝日!$A:$C,3,FALSE)="",
    "",
    VLOOKUP($A104,祝日!$A:$C,3,FALSE)
  ),
  ""
)</f>
        <v/>
      </c>
    </row>
    <row r="105" spans="1:4" ht="15.75" x14ac:dyDescent="0.25">
      <c r="A105" s="35">
        <v>43934</v>
      </c>
      <c r="B105" s="60">
        <v>8</v>
      </c>
      <c r="C105" s="36" t="str">
        <f>IFERROR(
  IF(
    VLOOKUP($A105,祝日!$A:$C,2,FALSE)="",
    "",
    VLOOKUP($A105,祝日!$A:$C,2,FALSE)
  ),
  ""
)</f>
        <v/>
      </c>
      <c r="D105" s="36" t="str">
        <f>IFERROR(
  IF(
    VLOOKUP($A105,祝日!$A:$C,3,FALSE)="",
    "",
    VLOOKUP($A105,祝日!$A:$C,3,FALSE)
  ),
  ""
)</f>
        <v/>
      </c>
    </row>
    <row r="106" spans="1:4" ht="15.75" x14ac:dyDescent="0.25">
      <c r="A106" s="35">
        <v>43935</v>
      </c>
      <c r="B106" s="60">
        <v>8</v>
      </c>
      <c r="C106" s="36" t="str">
        <f>IFERROR(
  IF(
    VLOOKUP($A106,祝日!$A:$C,2,FALSE)="",
    "",
    VLOOKUP($A106,祝日!$A:$C,2,FALSE)
  ),
  ""
)</f>
        <v/>
      </c>
      <c r="D106" s="36" t="str">
        <f>IFERROR(
  IF(
    VLOOKUP($A106,祝日!$A:$C,3,FALSE)="",
    "",
    VLOOKUP($A106,祝日!$A:$C,3,FALSE)
  ),
  ""
)</f>
        <v/>
      </c>
    </row>
    <row r="107" spans="1:4" ht="15.75" x14ac:dyDescent="0.25">
      <c r="A107" s="35">
        <v>43936</v>
      </c>
      <c r="B107" s="60">
        <v>8</v>
      </c>
      <c r="C107" s="36" t="str">
        <f>IFERROR(
  IF(
    VLOOKUP($A107,祝日!$A:$C,2,FALSE)="",
    "",
    VLOOKUP($A107,祝日!$A:$C,2,FALSE)
  ),
  ""
)</f>
        <v/>
      </c>
      <c r="D107" s="36" t="str">
        <f>IFERROR(
  IF(
    VLOOKUP($A107,祝日!$A:$C,3,FALSE)="",
    "",
    VLOOKUP($A107,祝日!$A:$C,3,FALSE)
  ),
  ""
)</f>
        <v/>
      </c>
    </row>
    <row r="108" spans="1:4" ht="15.75" x14ac:dyDescent="0.25">
      <c r="A108" s="35">
        <v>43937</v>
      </c>
      <c r="B108" s="60">
        <v>8</v>
      </c>
      <c r="C108" s="36" t="str">
        <f>IFERROR(
  IF(
    VLOOKUP($A108,祝日!$A:$C,2,FALSE)="",
    "",
    VLOOKUP($A108,祝日!$A:$C,2,FALSE)
  ),
  ""
)</f>
        <v/>
      </c>
      <c r="D108" s="36" t="str">
        <f>IFERROR(
  IF(
    VLOOKUP($A108,祝日!$A:$C,3,FALSE)="",
    "",
    VLOOKUP($A108,祝日!$A:$C,3,FALSE)
  ),
  ""
)</f>
        <v/>
      </c>
    </row>
    <row r="109" spans="1:4" ht="15.75" x14ac:dyDescent="0.25">
      <c r="A109" s="35">
        <v>43938</v>
      </c>
      <c r="B109" s="60">
        <v>8</v>
      </c>
      <c r="C109" s="36" t="str">
        <f>IFERROR(
  IF(
    VLOOKUP($A109,祝日!$A:$C,2,FALSE)="",
    "",
    VLOOKUP($A109,祝日!$A:$C,2,FALSE)
  ),
  ""
)</f>
        <v/>
      </c>
      <c r="D109" s="36" t="str">
        <f>IFERROR(
  IF(
    VLOOKUP($A109,祝日!$A:$C,3,FALSE)="",
    "",
    VLOOKUP($A109,祝日!$A:$C,3,FALSE)
  ),
  ""
)</f>
        <v/>
      </c>
    </row>
    <row r="110" spans="1:4" ht="15.75" x14ac:dyDescent="0.25">
      <c r="A110" s="35">
        <v>43939</v>
      </c>
      <c r="B110" s="60">
        <v>8</v>
      </c>
      <c r="C110" s="36" t="str">
        <f>IFERROR(
  IF(
    VLOOKUP($A110,祝日!$A:$C,2,FALSE)="",
    "",
    VLOOKUP($A110,祝日!$A:$C,2,FALSE)
  ),
  ""
)</f>
        <v/>
      </c>
      <c r="D110" s="36" t="str">
        <f>IFERROR(
  IF(
    VLOOKUP($A110,祝日!$A:$C,3,FALSE)="",
    "",
    VLOOKUP($A110,祝日!$A:$C,3,FALSE)
  ),
  ""
)</f>
        <v/>
      </c>
    </row>
    <row r="111" spans="1:4" ht="15.75" x14ac:dyDescent="0.25">
      <c r="A111" s="35">
        <v>43940</v>
      </c>
      <c r="B111" s="60">
        <v>8</v>
      </c>
      <c r="C111" s="36" t="str">
        <f>IFERROR(
  IF(
    VLOOKUP($A111,祝日!$A:$C,2,FALSE)="",
    "",
    VLOOKUP($A111,祝日!$A:$C,2,FALSE)
  ),
  ""
)</f>
        <v/>
      </c>
      <c r="D111" s="36" t="str">
        <f>IFERROR(
  IF(
    VLOOKUP($A111,祝日!$A:$C,3,FALSE)="",
    "",
    VLOOKUP($A111,祝日!$A:$C,3,FALSE)
  ),
  ""
)</f>
        <v/>
      </c>
    </row>
    <row r="112" spans="1:4" ht="15.75" x14ac:dyDescent="0.25">
      <c r="A112" s="35">
        <v>43941</v>
      </c>
      <c r="B112" s="60">
        <v>8</v>
      </c>
      <c r="C112" s="36" t="str">
        <f>IFERROR(
  IF(
    VLOOKUP($A112,祝日!$A:$C,2,FALSE)="",
    "",
    VLOOKUP($A112,祝日!$A:$C,2,FALSE)
  ),
  ""
)</f>
        <v/>
      </c>
      <c r="D112" s="36" t="str">
        <f>IFERROR(
  IF(
    VLOOKUP($A112,祝日!$A:$C,3,FALSE)="",
    "",
    VLOOKUP($A112,祝日!$A:$C,3,FALSE)
  ),
  ""
)</f>
        <v/>
      </c>
    </row>
    <row r="113" spans="1:4" ht="15.75" x14ac:dyDescent="0.25">
      <c r="A113" s="35">
        <v>43942</v>
      </c>
      <c r="B113" s="60">
        <v>8</v>
      </c>
      <c r="C113" s="36" t="str">
        <f>IFERROR(
  IF(
    VLOOKUP($A113,祝日!$A:$C,2,FALSE)="",
    "",
    VLOOKUP($A113,祝日!$A:$C,2,FALSE)
  ),
  ""
)</f>
        <v/>
      </c>
      <c r="D113" s="36" t="str">
        <f>IFERROR(
  IF(
    VLOOKUP($A113,祝日!$A:$C,3,FALSE)="",
    "",
    VLOOKUP($A113,祝日!$A:$C,3,FALSE)
  ),
  ""
)</f>
        <v/>
      </c>
    </row>
    <row r="114" spans="1:4" ht="15.75" x14ac:dyDescent="0.25">
      <c r="A114" s="35">
        <v>43943</v>
      </c>
      <c r="B114" s="60">
        <v>8</v>
      </c>
      <c r="C114" s="36" t="str">
        <f>IFERROR(
  IF(
    VLOOKUP($A114,祝日!$A:$C,2,FALSE)="",
    "",
    VLOOKUP($A114,祝日!$A:$C,2,FALSE)
  ),
  ""
)</f>
        <v/>
      </c>
      <c r="D114" s="36" t="str">
        <f>IFERROR(
  IF(
    VLOOKUP($A114,祝日!$A:$C,3,FALSE)="",
    "",
    VLOOKUP($A114,祝日!$A:$C,3,FALSE)
  ),
  ""
)</f>
        <v/>
      </c>
    </row>
    <row r="115" spans="1:4" ht="15.75" x14ac:dyDescent="0.25">
      <c r="A115" s="35">
        <v>43944</v>
      </c>
      <c r="B115" s="60">
        <v>8</v>
      </c>
      <c r="C115" s="36" t="str">
        <f>IFERROR(
  IF(
    VLOOKUP($A115,祝日!$A:$C,2,FALSE)="",
    "",
    VLOOKUP($A115,祝日!$A:$C,2,FALSE)
  ),
  ""
)</f>
        <v/>
      </c>
      <c r="D115" s="36" t="str">
        <f>IFERROR(
  IF(
    VLOOKUP($A115,祝日!$A:$C,3,FALSE)="",
    "",
    VLOOKUP($A115,祝日!$A:$C,3,FALSE)
  ),
  ""
)</f>
        <v/>
      </c>
    </row>
    <row r="116" spans="1:4" ht="15.75" x14ac:dyDescent="0.25">
      <c r="A116" s="35">
        <v>43945</v>
      </c>
      <c r="B116" s="60">
        <v>8</v>
      </c>
      <c r="C116" s="36" t="str">
        <f>IFERROR(
  IF(
    VLOOKUP($A116,祝日!$A:$C,2,FALSE)="",
    "",
    VLOOKUP($A116,祝日!$A:$C,2,FALSE)
  ),
  ""
)</f>
        <v/>
      </c>
      <c r="D116" s="36" t="str">
        <f>IFERROR(
  IF(
    VLOOKUP($A116,祝日!$A:$C,3,FALSE)="",
    "",
    VLOOKUP($A116,祝日!$A:$C,3,FALSE)
  ),
  ""
)</f>
        <v/>
      </c>
    </row>
    <row r="117" spans="1:4" ht="15.75" x14ac:dyDescent="0.25">
      <c r="A117" s="35">
        <v>43946</v>
      </c>
      <c r="B117" s="60">
        <v>8</v>
      </c>
      <c r="C117" s="36" t="str">
        <f>IFERROR(
  IF(
    VLOOKUP($A117,祝日!$A:$C,2,FALSE)="",
    "",
    VLOOKUP($A117,祝日!$A:$C,2,FALSE)
  ),
  ""
)</f>
        <v/>
      </c>
      <c r="D117" s="36" t="str">
        <f>IFERROR(
  IF(
    VLOOKUP($A117,祝日!$A:$C,3,FALSE)="",
    "",
    VLOOKUP($A117,祝日!$A:$C,3,FALSE)
  ),
  ""
)</f>
        <v/>
      </c>
    </row>
    <row r="118" spans="1:4" ht="15.75" x14ac:dyDescent="0.25">
      <c r="A118" s="35">
        <v>43947</v>
      </c>
      <c r="B118" s="60">
        <v>8</v>
      </c>
      <c r="C118" s="36" t="str">
        <f>IFERROR(
  IF(
    VLOOKUP($A118,祝日!$A:$C,2,FALSE)="",
    "",
    VLOOKUP($A118,祝日!$A:$C,2,FALSE)
  ),
  ""
)</f>
        <v/>
      </c>
      <c r="D118" s="36" t="str">
        <f>IFERROR(
  IF(
    VLOOKUP($A118,祝日!$A:$C,3,FALSE)="",
    "",
    VLOOKUP($A118,祝日!$A:$C,3,FALSE)
  ),
  ""
)</f>
        <v/>
      </c>
    </row>
    <row r="119" spans="1:4" ht="15.75" x14ac:dyDescent="0.25">
      <c r="A119" s="35">
        <v>43948</v>
      </c>
      <c r="B119" s="60">
        <v>8</v>
      </c>
      <c r="C119" s="36" t="str">
        <f>IFERROR(
  IF(
    VLOOKUP($A119,祝日!$A:$C,2,FALSE)="",
    "",
    VLOOKUP($A119,祝日!$A:$C,2,FALSE)
  ),
  ""
)</f>
        <v/>
      </c>
      <c r="D119" s="36" t="str">
        <f>IFERROR(
  IF(
    VLOOKUP($A119,祝日!$A:$C,3,FALSE)="",
    "",
    VLOOKUP($A119,祝日!$A:$C,3,FALSE)
  ),
  ""
)</f>
        <v/>
      </c>
    </row>
    <row r="120" spans="1:4" ht="15.75" x14ac:dyDescent="0.25">
      <c r="A120" s="35">
        <v>43949</v>
      </c>
      <c r="B120" s="60">
        <v>8</v>
      </c>
      <c r="C120" s="36" t="str">
        <f>IFERROR(
  IF(
    VLOOKUP($A120,祝日!$A:$C,2,FALSE)="",
    "",
    VLOOKUP($A120,祝日!$A:$C,2,FALSE)
  ),
  ""
)</f>
        <v/>
      </c>
      <c r="D120" s="36" t="str">
        <f>IFERROR(
  IF(
    VLOOKUP($A120,祝日!$A:$C,3,FALSE)="",
    "",
    VLOOKUP($A120,祝日!$A:$C,3,FALSE)
  ),
  ""
)</f>
        <v/>
      </c>
    </row>
    <row r="121" spans="1:4" ht="15.75" x14ac:dyDescent="0.25">
      <c r="A121" s="35">
        <v>43950</v>
      </c>
      <c r="B121" s="60">
        <v>8</v>
      </c>
      <c r="C121" s="36" t="str">
        <f>IFERROR(
  IF(
    VLOOKUP($A121,祝日!$A:$C,2,FALSE)="",
    "",
    VLOOKUP($A121,祝日!$A:$C,2,FALSE)
  ),
  ""
)</f>
        <v xml:space="preserve">昭和の日 </v>
      </c>
      <c r="D121" s="36" t="str">
        <f>IFERROR(
  IF(
    VLOOKUP($A121,祝日!$A:$C,3,FALSE)="",
    "",
    VLOOKUP($A121,祝日!$A:$C,3,FALSE)
  ),
  ""
)</f>
        <v/>
      </c>
    </row>
    <row r="122" spans="1:4" ht="15.75" x14ac:dyDescent="0.25">
      <c r="A122" s="35">
        <v>43951</v>
      </c>
      <c r="B122" s="60">
        <v>8</v>
      </c>
      <c r="C122" s="36" t="str">
        <f>IFERROR(
  IF(
    VLOOKUP($A122,祝日!$A:$C,2,FALSE)="",
    "",
    VLOOKUP($A122,祝日!$A:$C,2,FALSE)
  ),
  ""
)</f>
        <v/>
      </c>
      <c r="D122" s="36" t="str">
        <f>IFERROR(
  IF(
    VLOOKUP($A122,祝日!$A:$C,3,FALSE)="",
    "",
    VLOOKUP($A122,祝日!$A:$C,3,FALSE)
  ),
  ""
)</f>
        <v/>
      </c>
    </row>
    <row r="123" spans="1:4" ht="15.75" x14ac:dyDescent="0.25">
      <c r="A123" s="35">
        <v>43952</v>
      </c>
      <c r="B123" s="60">
        <v>8</v>
      </c>
      <c r="C123" s="36" t="str">
        <f>IFERROR(
  IF(
    VLOOKUP($A123,祝日!$A:$C,2,FALSE)="",
    "",
    VLOOKUP($A123,祝日!$A:$C,2,FALSE)
  ),
  ""
)</f>
        <v/>
      </c>
      <c r="D123" s="36" t="str">
        <f>IFERROR(
  IF(
    VLOOKUP($A123,祝日!$A:$C,3,FALSE)="",
    "",
    VLOOKUP($A123,祝日!$A:$C,3,FALSE)
  ),
  ""
)</f>
        <v/>
      </c>
    </row>
    <row r="124" spans="1:4" ht="15.75" x14ac:dyDescent="0.25">
      <c r="A124" s="35">
        <v>43953</v>
      </c>
      <c r="B124" s="60">
        <v>8</v>
      </c>
      <c r="C124" s="36" t="str">
        <f>IFERROR(
  IF(
    VLOOKUP($A124,祝日!$A:$C,2,FALSE)="",
    "",
    VLOOKUP($A124,祝日!$A:$C,2,FALSE)
  ),
  ""
)</f>
        <v/>
      </c>
      <c r="D124" s="36" t="str">
        <f>IFERROR(
  IF(
    VLOOKUP($A124,祝日!$A:$C,3,FALSE)="",
    "",
    VLOOKUP($A124,祝日!$A:$C,3,FALSE)
  ),
  ""
)</f>
        <v/>
      </c>
    </row>
    <row r="125" spans="1:4" ht="15.75" x14ac:dyDescent="0.25">
      <c r="A125" s="35">
        <v>43954</v>
      </c>
      <c r="B125" s="60">
        <v>8</v>
      </c>
      <c r="C125" s="36" t="str">
        <f>IFERROR(
  IF(
    VLOOKUP($A125,祝日!$A:$C,2,FALSE)="",
    "",
    VLOOKUP($A125,祝日!$A:$C,2,FALSE)
  ),
  ""
)</f>
        <v xml:space="preserve">憲法記念日 </v>
      </c>
      <c r="D125" s="36" t="str">
        <f>IFERROR(
  IF(
    VLOOKUP($A125,祝日!$A:$C,3,FALSE)="",
    "",
    VLOOKUP($A125,祝日!$A:$C,3,FALSE)
  ),
  ""
)</f>
        <v/>
      </c>
    </row>
    <row r="126" spans="1:4" ht="15.75" x14ac:dyDescent="0.25">
      <c r="A126" s="35">
        <v>43955</v>
      </c>
      <c r="B126" s="60">
        <v>8</v>
      </c>
      <c r="C126" s="36" t="str">
        <f>IFERROR(
  IF(
    VLOOKUP($A126,祝日!$A:$C,2,FALSE)="",
    "",
    VLOOKUP($A126,祝日!$A:$C,2,FALSE)
  ),
  ""
)</f>
        <v xml:space="preserve">みどりの日 </v>
      </c>
      <c r="D126" s="36" t="str">
        <f>IFERROR(
  IF(
    VLOOKUP($A126,祝日!$A:$C,3,FALSE)="",
    "",
    VLOOKUP($A126,祝日!$A:$C,3,FALSE)
  ),
  ""
)</f>
        <v/>
      </c>
    </row>
    <row r="127" spans="1:4" ht="15.75" x14ac:dyDescent="0.25">
      <c r="A127" s="35">
        <v>43956</v>
      </c>
      <c r="B127" s="60">
        <v>8</v>
      </c>
      <c r="C127" s="36" t="str">
        <f>IFERROR(
  IF(
    VLOOKUP($A127,祝日!$A:$C,2,FALSE)="",
    "",
    VLOOKUP($A127,祝日!$A:$C,2,FALSE)
  ),
  ""
)</f>
        <v xml:space="preserve">こどもの日 </v>
      </c>
      <c r="D127" s="36" t="str">
        <f>IFERROR(
  IF(
    VLOOKUP($A127,祝日!$A:$C,3,FALSE)="",
    "",
    VLOOKUP($A127,祝日!$A:$C,3,FALSE)
  ),
  ""
)</f>
        <v/>
      </c>
    </row>
    <row r="128" spans="1:4" ht="15.75" x14ac:dyDescent="0.25">
      <c r="A128" s="35">
        <v>43957</v>
      </c>
      <c r="B128" s="60">
        <v>8</v>
      </c>
      <c r="C128" s="36" t="str">
        <f>IFERROR(
  IF(
    VLOOKUP($A128,祝日!$A:$C,2,FALSE)="",
    "",
    VLOOKUP($A128,祝日!$A:$C,2,FALSE)
  ),
  ""
)</f>
        <v xml:space="preserve">休日 </v>
      </c>
      <c r="D128" s="36" t="str">
        <f>IFERROR(
  IF(
    VLOOKUP($A128,祝日!$A:$C,3,FALSE)="",
    "",
    VLOOKUP($A128,祝日!$A:$C,3,FALSE)
  ),
  ""
)</f>
        <v>憲法記念日の振り替え休日</v>
      </c>
    </row>
    <row r="129" spans="1:4" ht="15.75" x14ac:dyDescent="0.25">
      <c r="A129" s="35">
        <v>43958</v>
      </c>
      <c r="B129" s="60">
        <v>8</v>
      </c>
      <c r="C129" s="36" t="str">
        <f>IFERROR(
  IF(
    VLOOKUP($A129,祝日!$A:$C,2,FALSE)="",
    "",
    VLOOKUP($A129,祝日!$A:$C,2,FALSE)
  ),
  ""
)</f>
        <v/>
      </c>
      <c r="D129" s="36" t="str">
        <f>IFERROR(
  IF(
    VLOOKUP($A129,祝日!$A:$C,3,FALSE)="",
    "",
    VLOOKUP($A129,祝日!$A:$C,3,FALSE)
  ),
  ""
)</f>
        <v/>
      </c>
    </row>
    <row r="130" spans="1:4" ht="15.75" x14ac:dyDescent="0.25">
      <c r="A130" s="35">
        <v>43959</v>
      </c>
      <c r="B130" s="60">
        <v>8</v>
      </c>
      <c r="C130" s="36" t="str">
        <f>IFERROR(
  IF(
    VLOOKUP($A130,祝日!$A:$C,2,FALSE)="",
    "",
    VLOOKUP($A130,祝日!$A:$C,2,FALSE)
  ),
  ""
)</f>
        <v/>
      </c>
      <c r="D130" s="36" t="str">
        <f>IFERROR(
  IF(
    VLOOKUP($A130,祝日!$A:$C,3,FALSE)="",
    "",
    VLOOKUP($A130,祝日!$A:$C,3,FALSE)
  ),
  ""
)</f>
        <v/>
      </c>
    </row>
    <row r="131" spans="1:4" ht="15.75" x14ac:dyDescent="0.25">
      <c r="A131" s="35">
        <v>43960</v>
      </c>
      <c r="B131" s="60">
        <v>8</v>
      </c>
      <c r="C131" s="36" t="str">
        <f>IFERROR(
  IF(
    VLOOKUP($A131,祝日!$A:$C,2,FALSE)="",
    "",
    VLOOKUP($A131,祝日!$A:$C,2,FALSE)
  ),
  ""
)</f>
        <v/>
      </c>
      <c r="D131" s="36" t="str">
        <f>IFERROR(
  IF(
    VLOOKUP($A131,祝日!$A:$C,3,FALSE)="",
    "",
    VLOOKUP($A131,祝日!$A:$C,3,FALSE)
  ),
  ""
)</f>
        <v/>
      </c>
    </row>
    <row r="132" spans="1:4" ht="15.75" x14ac:dyDescent="0.25">
      <c r="A132" s="35">
        <v>43961</v>
      </c>
      <c r="B132" s="60">
        <v>8</v>
      </c>
      <c r="C132" s="36" t="str">
        <f>IFERROR(
  IF(
    VLOOKUP($A132,祝日!$A:$C,2,FALSE)="",
    "",
    VLOOKUP($A132,祝日!$A:$C,2,FALSE)
  ),
  ""
)</f>
        <v/>
      </c>
      <c r="D132" s="36" t="str">
        <f>IFERROR(
  IF(
    VLOOKUP($A132,祝日!$A:$C,3,FALSE)="",
    "",
    VLOOKUP($A132,祝日!$A:$C,3,FALSE)
  ),
  ""
)</f>
        <v/>
      </c>
    </row>
    <row r="133" spans="1:4" ht="15.75" x14ac:dyDescent="0.25">
      <c r="A133" s="35">
        <v>43962</v>
      </c>
      <c r="B133" s="60">
        <v>8</v>
      </c>
      <c r="C133" s="36" t="str">
        <f>IFERROR(
  IF(
    VLOOKUP($A133,祝日!$A:$C,2,FALSE)="",
    "",
    VLOOKUP($A133,祝日!$A:$C,2,FALSE)
  ),
  ""
)</f>
        <v/>
      </c>
      <c r="D133" s="36" t="str">
        <f>IFERROR(
  IF(
    VLOOKUP($A133,祝日!$A:$C,3,FALSE)="",
    "",
    VLOOKUP($A133,祝日!$A:$C,3,FALSE)
  ),
  ""
)</f>
        <v/>
      </c>
    </row>
    <row r="134" spans="1:4" ht="15.75" x14ac:dyDescent="0.25">
      <c r="A134" s="35">
        <v>43963</v>
      </c>
      <c r="B134" s="60">
        <v>8</v>
      </c>
      <c r="C134" s="36" t="str">
        <f>IFERROR(
  IF(
    VLOOKUP($A134,祝日!$A:$C,2,FALSE)="",
    "",
    VLOOKUP($A134,祝日!$A:$C,2,FALSE)
  ),
  ""
)</f>
        <v/>
      </c>
      <c r="D134" s="36" t="str">
        <f>IFERROR(
  IF(
    VLOOKUP($A134,祝日!$A:$C,3,FALSE)="",
    "",
    VLOOKUP($A134,祝日!$A:$C,3,FALSE)
  ),
  ""
)</f>
        <v/>
      </c>
    </row>
    <row r="135" spans="1:4" ht="15.75" x14ac:dyDescent="0.25">
      <c r="A135" s="35">
        <v>43964</v>
      </c>
      <c r="B135" s="60">
        <v>8</v>
      </c>
      <c r="C135" s="36" t="str">
        <f>IFERROR(
  IF(
    VLOOKUP($A135,祝日!$A:$C,2,FALSE)="",
    "",
    VLOOKUP($A135,祝日!$A:$C,2,FALSE)
  ),
  ""
)</f>
        <v/>
      </c>
      <c r="D135" s="36" t="str">
        <f>IFERROR(
  IF(
    VLOOKUP($A135,祝日!$A:$C,3,FALSE)="",
    "",
    VLOOKUP($A135,祝日!$A:$C,3,FALSE)
  ),
  ""
)</f>
        <v/>
      </c>
    </row>
    <row r="136" spans="1:4" ht="15.75" x14ac:dyDescent="0.25">
      <c r="A136" s="35">
        <v>43965</v>
      </c>
      <c r="B136" s="60">
        <v>8</v>
      </c>
      <c r="C136" s="36" t="str">
        <f>IFERROR(
  IF(
    VLOOKUP($A136,祝日!$A:$C,2,FALSE)="",
    "",
    VLOOKUP($A136,祝日!$A:$C,2,FALSE)
  ),
  ""
)</f>
        <v/>
      </c>
      <c r="D136" s="36" t="str">
        <f>IFERROR(
  IF(
    VLOOKUP($A136,祝日!$A:$C,3,FALSE)="",
    "",
    VLOOKUP($A136,祝日!$A:$C,3,FALSE)
  ),
  ""
)</f>
        <v/>
      </c>
    </row>
    <row r="137" spans="1:4" ht="15.75" x14ac:dyDescent="0.25">
      <c r="A137" s="35">
        <v>43966</v>
      </c>
      <c r="B137" s="60">
        <v>8</v>
      </c>
      <c r="C137" s="36" t="str">
        <f>IFERROR(
  IF(
    VLOOKUP($A137,祝日!$A:$C,2,FALSE)="",
    "",
    VLOOKUP($A137,祝日!$A:$C,2,FALSE)
  ),
  ""
)</f>
        <v/>
      </c>
      <c r="D137" s="36" t="str">
        <f>IFERROR(
  IF(
    VLOOKUP($A137,祝日!$A:$C,3,FALSE)="",
    "",
    VLOOKUP($A137,祝日!$A:$C,3,FALSE)
  ),
  ""
)</f>
        <v/>
      </c>
    </row>
    <row r="138" spans="1:4" ht="15.75" x14ac:dyDescent="0.25">
      <c r="A138" s="35">
        <v>43967</v>
      </c>
      <c r="B138" s="60">
        <v>8</v>
      </c>
      <c r="C138" s="36" t="str">
        <f>IFERROR(
  IF(
    VLOOKUP($A138,祝日!$A:$C,2,FALSE)="",
    "",
    VLOOKUP($A138,祝日!$A:$C,2,FALSE)
  ),
  ""
)</f>
        <v/>
      </c>
      <c r="D138" s="36" t="str">
        <f>IFERROR(
  IF(
    VLOOKUP($A138,祝日!$A:$C,3,FALSE)="",
    "",
    VLOOKUP($A138,祝日!$A:$C,3,FALSE)
  ),
  ""
)</f>
        <v/>
      </c>
    </row>
    <row r="139" spans="1:4" ht="15.75" x14ac:dyDescent="0.25">
      <c r="A139" s="35">
        <v>43968</v>
      </c>
      <c r="B139" s="60">
        <v>8</v>
      </c>
      <c r="C139" s="36" t="str">
        <f>IFERROR(
  IF(
    VLOOKUP($A139,祝日!$A:$C,2,FALSE)="",
    "",
    VLOOKUP($A139,祝日!$A:$C,2,FALSE)
  ),
  ""
)</f>
        <v/>
      </c>
      <c r="D139" s="36" t="str">
        <f>IFERROR(
  IF(
    VLOOKUP($A139,祝日!$A:$C,3,FALSE)="",
    "",
    VLOOKUP($A139,祝日!$A:$C,3,FALSE)
  ),
  ""
)</f>
        <v/>
      </c>
    </row>
    <row r="140" spans="1:4" ht="15.75" x14ac:dyDescent="0.25">
      <c r="A140" s="35">
        <v>43969</v>
      </c>
      <c r="B140" s="60">
        <v>8</v>
      </c>
      <c r="C140" s="36" t="str">
        <f>IFERROR(
  IF(
    VLOOKUP($A140,祝日!$A:$C,2,FALSE)="",
    "",
    VLOOKUP($A140,祝日!$A:$C,2,FALSE)
  ),
  ""
)</f>
        <v/>
      </c>
      <c r="D140" s="36" t="str">
        <f>IFERROR(
  IF(
    VLOOKUP($A140,祝日!$A:$C,3,FALSE)="",
    "",
    VLOOKUP($A140,祝日!$A:$C,3,FALSE)
  ),
  ""
)</f>
        <v/>
      </c>
    </row>
    <row r="141" spans="1:4" ht="15.75" x14ac:dyDescent="0.25">
      <c r="A141" s="35">
        <v>43970</v>
      </c>
      <c r="B141" s="60">
        <v>8</v>
      </c>
      <c r="C141" s="36" t="str">
        <f>IFERROR(
  IF(
    VLOOKUP($A141,祝日!$A:$C,2,FALSE)="",
    "",
    VLOOKUP($A141,祝日!$A:$C,2,FALSE)
  ),
  ""
)</f>
        <v/>
      </c>
      <c r="D141" s="36" t="str">
        <f>IFERROR(
  IF(
    VLOOKUP($A141,祝日!$A:$C,3,FALSE)="",
    "",
    VLOOKUP($A141,祝日!$A:$C,3,FALSE)
  ),
  ""
)</f>
        <v/>
      </c>
    </row>
    <row r="142" spans="1:4" ht="15.75" x14ac:dyDescent="0.25">
      <c r="A142" s="35">
        <v>43971</v>
      </c>
      <c r="B142" s="60">
        <v>8</v>
      </c>
      <c r="C142" s="36" t="str">
        <f>IFERROR(
  IF(
    VLOOKUP($A142,祝日!$A:$C,2,FALSE)="",
    "",
    VLOOKUP($A142,祝日!$A:$C,2,FALSE)
  ),
  ""
)</f>
        <v/>
      </c>
      <c r="D142" s="36" t="str">
        <f>IFERROR(
  IF(
    VLOOKUP($A142,祝日!$A:$C,3,FALSE)="",
    "",
    VLOOKUP($A142,祝日!$A:$C,3,FALSE)
  ),
  ""
)</f>
        <v/>
      </c>
    </row>
    <row r="143" spans="1:4" ht="15.75" x14ac:dyDescent="0.25">
      <c r="A143" s="35">
        <v>43972</v>
      </c>
      <c r="B143" s="60">
        <v>8</v>
      </c>
      <c r="C143" s="36" t="str">
        <f>IFERROR(
  IF(
    VLOOKUP($A143,祝日!$A:$C,2,FALSE)="",
    "",
    VLOOKUP($A143,祝日!$A:$C,2,FALSE)
  ),
  ""
)</f>
        <v/>
      </c>
      <c r="D143" s="36" t="str">
        <f>IFERROR(
  IF(
    VLOOKUP($A143,祝日!$A:$C,3,FALSE)="",
    "",
    VLOOKUP($A143,祝日!$A:$C,3,FALSE)
  ),
  ""
)</f>
        <v/>
      </c>
    </row>
    <row r="144" spans="1:4" ht="15.75" x14ac:dyDescent="0.25">
      <c r="A144" s="35">
        <v>43973</v>
      </c>
      <c r="B144" s="60">
        <v>8</v>
      </c>
      <c r="C144" s="36" t="str">
        <f>IFERROR(
  IF(
    VLOOKUP($A144,祝日!$A:$C,2,FALSE)="",
    "",
    VLOOKUP($A144,祝日!$A:$C,2,FALSE)
  ),
  ""
)</f>
        <v/>
      </c>
      <c r="D144" s="36" t="str">
        <f>IFERROR(
  IF(
    VLOOKUP($A144,祝日!$A:$C,3,FALSE)="",
    "",
    VLOOKUP($A144,祝日!$A:$C,3,FALSE)
  ),
  ""
)</f>
        <v/>
      </c>
    </row>
    <row r="145" spans="1:4" ht="15.75" x14ac:dyDescent="0.25">
      <c r="A145" s="35">
        <v>43974</v>
      </c>
      <c r="B145" s="60">
        <v>8</v>
      </c>
      <c r="C145" s="36" t="str">
        <f>IFERROR(
  IF(
    VLOOKUP($A145,祝日!$A:$C,2,FALSE)="",
    "",
    VLOOKUP($A145,祝日!$A:$C,2,FALSE)
  ),
  ""
)</f>
        <v/>
      </c>
      <c r="D145" s="36" t="str">
        <f>IFERROR(
  IF(
    VLOOKUP($A145,祝日!$A:$C,3,FALSE)="",
    "",
    VLOOKUP($A145,祝日!$A:$C,3,FALSE)
  ),
  ""
)</f>
        <v/>
      </c>
    </row>
    <row r="146" spans="1:4" ht="15.75" x14ac:dyDescent="0.25">
      <c r="A146" s="35">
        <v>43975</v>
      </c>
      <c r="B146" s="60">
        <v>8</v>
      </c>
      <c r="C146" s="36" t="str">
        <f>IFERROR(
  IF(
    VLOOKUP($A146,祝日!$A:$C,2,FALSE)="",
    "",
    VLOOKUP($A146,祝日!$A:$C,2,FALSE)
  ),
  ""
)</f>
        <v/>
      </c>
      <c r="D146" s="36" t="str">
        <f>IFERROR(
  IF(
    VLOOKUP($A146,祝日!$A:$C,3,FALSE)="",
    "",
    VLOOKUP($A146,祝日!$A:$C,3,FALSE)
  ),
  ""
)</f>
        <v/>
      </c>
    </row>
    <row r="147" spans="1:4" ht="15.75" x14ac:dyDescent="0.25">
      <c r="A147" s="35">
        <v>43976</v>
      </c>
      <c r="B147" s="60">
        <v>8</v>
      </c>
      <c r="C147" s="36" t="str">
        <f>IFERROR(
  IF(
    VLOOKUP($A147,祝日!$A:$C,2,FALSE)="",
    "",
    VLOOKUP($A147,祝日!$A:$C,2,FALSE)
  ),
  ""
)</f>
        <v/>
      </c>
      <c r="D147" s="36" t="str">
        <f>IFERROR(
  IF(
    VLOOKUP($A147,祝日!$A:$C,3,FALSE)="",
    "",
    VLOOKUP($A147,祝日!$A:$C,3,FALSE)
  ),
  ""
)</f>
        <v/>
      </c>
    </row>
    <row r="148" spans="1:4" ht="15.75" x14ac:dyDescent="0.25">
      <c r="A148" s="35">
        <v>43977</v>
      </c>
      <c r="B148" s="60">
        <v>8</v>
      </c>
      <c r="C148" s="36" t="str">
        <f>IFERROR(
  IF(
    VLOOKUP($A148,祝日!$A:$C,2,FALSE)="",
    "",
    VLOOKUP($A148,祝日!$A:$C,2,FALSE)
  ),
  ""
)</f>
        <v/>
      </c>
      <c r="D148" s="36" t="str">
        <f>IFERROR(
  IF(
    VLOOKUP($A148,祝日!$A:$C,3,FALSE)="",
    "",
    VLOOKUP($A148,祝日!$A:$C,3,FALSE)
  ),
  ""
)</f>
        <v/>
      </c>
    </row>
    <row r="149" spans="1:4" ht="15.75" x14ac:dyDescent="0.25">
      <c r="A149" s="35">
        <v>43978</v>
      </c>
      <c r="B149" s="60">
        <v>8</v>
      </c>
      <c r="C149" s="36" t="str">
        <f>IFERROR(
  IF(
    VLOOKUP($A149,祝日!$A:$C,2,FALSE)="",
    "",
    VLOOKUP($A149,祝日!$A:$C,2,FALSE)
  ),
  ""
)</f>
        <v/>
      </c>
      <c r="D149" s="36" t="str">
        <f>IFERROR(
  IF(
    VLOOKUP($A149,祝日!$A:$C,3,FALSE)="",
    "",
    VLOOKUP($A149,祝日!$A:$C,3,FALSE)
  ),
  ""
)</f>
        <v/>
      </c>
    </row>
    <row r="150" spans="1:4" ht="15.75" x14ac:dyDescent="0.25">
      <c r="A150" s="35">
        <v>43979</v>
      </c>
      <c r="B150" s="60">
        <v>8</v>
      </c>
      <c r="C150" s="36" t="str">
        <f>IFERROR(
  IF(
    VLOOKUP($A150,祝日!$A:$C,2,FALSE)="",
    "",
    VLOOKUP($A150,祝日!$A:$C,2,FALSE)
  ),
  ""
)</f>
        <v/>
      </c>
      <c r="D150" s="36" t="str">
        <f>IFERROR(
  IF(
    VLOOKUP($A150,祝日!$A:$C,3,FALSE)="",
    "",
    VLOOKUP($A150,祝日!$A:$C,3,FALSE)
  ),
  ""
)</f>
        <v/>
      </c>
    </row>
    <row r="151" spans="1:4" ht="15.75" x14ac:dyDescent="0.25">
      <c r="A151" s="35">
        <v>43980</v>
      </c>
      <c r="B151" s="60">
        <v>8</v>
      </c>
      <c r="C151" s="36" t="str">
        <f>IFERROR(
  IF(
    VLOOKUP($A151,祝日!$A:$C,2,FALSE)="",
    "",
    VLOOKUP($A151,祝日!$A:$C,2,FALSE)
  ),
  ""
)</f>
        <v/>
      </c>
      <c r="D151" s="36" t="str">
        <f>IFERROR(
  IF(
    VLOOKUP($A151,祝日!$A:$C,3,FALSE)="",
    "",
    VLOOKUP($A151,祝日!$A:$C,3,FALSE)
  ),
  ""
)</f>
        <v/>
      </c>
    </row>
    <row r="152" spans="1:4" ht="15.75" x14ac:dyDescent="0.25">
      <c r="A152" s="35">
        <v>43981</v>
      </c>
      <c r="B152" s="60">
        <v>8</v>
      </c>
      <c r="C152" s="36" t="str">
        <f>IFERROR(
  IF(
    VLOOKUP($A152,祝日!$A:$C,2,FALSE)="",
    "",
    VLOOKUP($A152,祝日!$A:$C,2,FALSE)
  ),
  ""
)</f>
        <v/>
      </c>
      <c r="D152" s="36" t="str">
        <f>IFERROR(
  IF(
    VLOOKUP($A152,祝日!$A:$C,3,FALSE)="",
    "",
    VLOOKUP($A152,祝日!$A:$C,3,FALSE)
  ),
  ""
)</f>
        <v/>
      </c>
    </row>
    <row r="153" spans="1:4" ht="15.75" x14ac:dyDescent="0.25">
      <c r="A153" s="35">
        <v>43982</v>
      </c>
      <c r="B153" s="60">
        <v>8</v>
      </c>
      <c r="C153" s="36" t="str">
        <f>IFERROR(
  IF(
    VLOOKUP($A153,祝日!$A:$C,2,FALSE)="",
    "",
    VLOOKUP($A153,祝日!$A:$C,2,FALSE)
  ),
  ""
)</f>
        <v/>
      </c>
      <c r="D153" s="36" t="str">
        <f>IFERROR(
  IF(
    VLOOKUP($A153,祝日!$A:$C,3,FALSE)="",
    "",
    VLOOKUP($A153,祝日!$A:$C,3,FALSE)
  ),
  ""
)</f>
        <v/>
      </c>
    </row>
    <row r="154" spans="1:4" ht="15.75" x14ac:dyDescent="0.25">
      <c r="A154" s="35">
        <v>43983</v>
      </c>
      <c r="B154" s="60">
        <v>8</v>
      </c>
      <c r="C154" s="36" t="str">
        <f>IFERROR(
  IF(
    VLOOKUP($A154,祝日!$A:$C,2,FALSE)="",
    "",
    VLOOKUP($A154,祝日!$A:$C,2,FALSE)
  ),
  ""
)</f>
        <v/>
      </c>
      <c r="D154" s="36" t="str">
        <f>IFERROR(
  IF(
    VLOOKUP($A154,祝日!$A:$C,3,FALSE)="",
    "",
    VLOOKUP($A154,祝日!$A:$C,3,FALSE)
  ),
  ""
)</f>
        <v/>
      </c>
    </row>
    <row r="155" spans="1:4" ht="15.75" x14ac:dyDescent="0.25">
      <c r="A155" s="35">
        <v>43984</v>
      </c>
      <c r="B155" s="60">
        <v>8</v>
      </c>
      <c r="C155" s="36" t="str">
        <f>IFERROR(
  IF(
    VLOOKUP($A155,祝日!$A:$C,2,FALSE)="",
    "",
    VLOOKUP($A155,祝日!$A:$C,2,FALSE)
  ),
  ""
)</f>
        <v/>
      </c>
      <c r="D155" s="36" t="str">
        <f>IFERROR(
  IF(
    VLOOKUP($A155,祝日!$A:$C,3,FALSE)="",
    "",
    VLOOKUP($A155,祝日!$A:$C,3,FALSE)
  ),
  ""
)</f>
        <v/>
      </c>
    </row>
    <row r="156" spans="1:4" ht="15.75" x14ac:dyDescent="0.25">
      <c r="A156" s="35">
        <v>43985</v>
      </c>
      <c r="B156" s="60">
        <v>8</v>
      </c>
      <c r="C156" s="36" t="str">
        <f>IFERROR(
  IF(
    VLOOKUP($A156,祝日!$A:$C,2,FALSE)="",
    "",
    VLOOKUP($A156,祝日!$A:$C,2,FALSE)
  ),
  ""
)</f>
        <v/>
      </c>
      <c r="D156" s="36" t="str">
        <f>IFERROR(
  IF(
    VLOOKUP($A156,祝日!$A:$C,3,FALSE)="",
    "",
    VLOOKUP($A156,祝日!$A:$C,3,FALSE)
  ),
  ""
)</f>
        <v/>
      </c>
    </row>
    <row r="157" spans="1:4" ht="15.75" x14ac:dyDescent="0.25">
      <c r="A157" s="35">
        <v>43986</v>
      </c>
      <c r="B157" s="60">
        <v>8</v>
      </c>
      <c r="C157" s="36" t="str">
        <f>IFERROR(
  IF(
    VLOOKUP($A157,祝日!$A:$C,2,FALSE)="",
    "",
    VLOOKUP($A157,祝日!$A:$C,2,FALSE)
  ),
  ""
)</f>
        <v/>
      </c>
      <c r="D157" s="36" t="str">
        <f>IFERROR(
  IF(
    VLOOKUP($A157,祝日!$A:$C,3,FALSE)="",
    "",
    VLOOKUP($A157,祝日!$A:$C,3,FALSE)
  ),
  ""
)</f>
        <v/>
      </c>
    </row>
    <row r="158" spans="1:4" ht="15.75" x14ac:dyDescent="0.25">
      <c r="A158" s="35">
        <v>43987</v>
      </c>
      <c r="B158" s="60">
        <v>8</v>
      </c>
      <c r="C158" s="36" t="str">
        <f>IFERROR(
  IF(
    VLOOKUP($A158,祝日!$A:$C,2,FALSE)="",
    "",
    VLOOKUP($A158,祝日!$A:$C,2,FALSE)
  ),
  ""
)</f>
        <v/>
      </c>
      <c r="D158" s="36" t="str">
        <f>IFERROR(
  IF(
    VLOOKUP($A158,祝日!$A:$C,3,FALSE)="",
    "",
    VLOOKUP($A158,祝日!$A:$C,3,FALSE)
  ),
  ""
)</f>
        <v/>
      </c>
    </row>
    <row r="159" spans="1:4" ht="15.75" x14ac:dyDescent="0.25">
      <c r="A159" s="35">
        <v>43988</v>
      </c>
      <c r="B159" s="60">
        <v>8</v>
      </c>
      <c r="C159" s="36" t="str">
        <f>IFERROR(
  IF(
    VLOOKUP($A159,祝日!$A:$C,2,FALSE)="",
    "",
    VLOOKUP($A159,祝日!$A:$C,2,FALSE)
  ),
  ""
)</f>
        <v/>
      </c>
      <c r="D159" s="36" t="str">
        <f>IFERROR(
  IF(
    VLOOKUP($A159,祝日!$A:$C,3,FALSE)="",
    "",
    VLOOKUP($A159,祝日!$A:$C,3,FALSE)
  ),
  ""
)</f>
        <v/>
      </c>
    </row>
    <row r="160" spans="1:4" ht="15.75" x14ac:dyDescent="0.25">
      <c r="A160" s="35">
        <v>43989</v>
      </c>
      <c r="B160" s="60">
        <v>8</v>
      </c>
      <c r="C160" s="36" t="str">
        <f>IFERROR(
  IF(
    VLOOKUP($A160,祝日!$A:$C,2,FALSE)="",
    "",
    VLOOKUP($A160,祝日!$A:$C,2,FALSE)
  ),
  ""
)</f>
        <v/>
      </c>
      <c r="D160" s="36" t="str">
        <f>IFERROR(
  IF(
    VLOOKUP($A160,祝日!$A:$C,3,FALSE)="",
    "",
    VLOOKUP($A160,祝日!$A:$C,3,FALSE)
  ),
  ""
)</f>
        <v/>
      </c>
    </row>
    <row r="161" spans="1:4" ht="15.75" x14ac:dyDescent="0.25">
      <c r="A161" s="35">
        <v>43990</v>
      </c>
      <c r="B161" s="60">
        <v>8</v>
      </c>
      <c r="C161" s="36" t="str">
        <f>IFERROR(
  IF(
    VLOOKUP($A161,祝日!$A:$C,2,FALSE)="",
    "",
    VLOOKUP($A161,祝日!$A:$C,2,FALSE)
  ),
  ""
)</f>
        <v/>
      </c>
      <c r="D161" s="36" t="str">
        <f>IFERROR(
  IF(
    VLOOKUP($A161,祝日!$A:$C,3,FALSE)="",
    "",
    VLOOKUP($A161,祝日!$A:$C,3,FALSE)
  ),
  ""
)</f>
        <v/>
      </c>
    </row>
    <row r="162" spans="1:4" ht="15.75" x14ac:dyDescent="0.25">
      <c r="A162" s="35">
        <v>43991</v>
      </c>
      <c r="B162" s="60">
        <v>8</v>
      </c>
      <c r="C162" s="36" t="str">
        <f>IFERROR(
  IF(
    VLOOKUP($A162,祝日!$A:$C,2,FALSE)="",
    "",
    VLOOKUP($A162,祝日!$A:$C,2,FALSE)
  ),
  ""
)</f>
        <v/>
      </c>
      <c r="D162" s="36" t="str">
        <f>IFERROR(
  IF(
    VLOOKUP($A162,祝日!$A:$C,3,FALSE)="",
    "",
    VLOOKUP($A162,祝日!$A:$C,3,FALSE)
  ),
  ""
)</f>
        <v/>
      </c>
    </row>
    <row r="163" spans="1:4" ht="15.75" x14ac:dyDescent="0.25">
      <c r="A163" s="35">
        <v>43992</v>
      </c>
      <c r="B163" s="60">
        <v>8</v>
      </c>
      <c r="C163" s="36" t="str">
        <f>IFERROR(
  IF(
    VLOOKUP($A163,祝日!$A:$C,2,FALSE)="",
    "",
    VLOOKUP($A163,祝日!$A:$C,2,FALSE)
  ),
  ""
)</f>
        <v/>
      </c>
      <c r="D163" s="36" t="str">
        <f>IFERROR(
  IF(
    VLOOKUP($A163,祝日!$A:$C,3,FALSE)="",
    "",
    VLOOKUP($A163,祝日!$A:$C,3,FALSE)
  ),
  ""
)</f>
        <v/>
      </c>
    </row>
    <row r="164" spans="1:4" ht="15.75" x14ac:dyDescent="0.25">
      <c r="A164" s="35">
        <v>43993</v>
      </c>
      <c r="B164" s="60">
        <v>8</v>
      </c>
      <c r="C164" s="36" t="str">
        <f>IFERROR(
  IF(
    VLOOKUP($A164,祝日!$A:$C,2,FALSE)="",
    "",
    VLOOKUP($A164,祝日!$A:$C,2,FALSE)
  ),
  ""
)</f>
        <v/>
      </c>
      <c r="D164" s="36" t="str">
        <f>IFERROR(
  IF(
    VLOOKUP($A164,祝日!$A:$C,3,FALSE)="",
    "",
    VLOOKUP($A164,祝日!$A:$C,3,FALSE)
  ),
  ""
)</f>
        <v/>
      </c>
    </row>
    <row r="165" spans="1:4" ht="15.75" x14ac:dyDescent="0.25">
      <c r="A165" s="35">
        <v>43994</v>
      </c>
      <c r="B165" s="60">
        <v>8</v>
      </c>
      <c r="C165" s="36" t="str">
        <f>IFERROR(
  IF(
    VLOOKUP($A165,祝日!$A:$C,2,FALSE)="",
    "",
    VLOOKUP($A165,祝日!$A:$C,2,FALSE)
  ),
  ""
)</f>
        <v/>
      </c>
      <c r="D165" s="36" t="str">
        <f>IFERROR(
  IF(
    VLOOKUP($A165,祝日!$A:$C,3,FALSE)="",
    "",
    VLOOKUP($A165,祝日!$A:$C,3,FALSE)
  ),
  ""
)</f>
        <v/>
      </c>
    </row>
    <row r="166" spans="1:4" ht="15.75" x14ac:dyDescent="0.25">
      <c r="A166" s="35">
        <v>43995</v>
      </c>
      <c r="B166" s="60">
        <v>8</v>
      </c>
      <c r="C166" s="36" t="str">
        <f>IFERROR(
  IF(
    VLOOKUP($A166,祝日!$A:$C,2,FALSE)="",
    "",
    VLOOKUP($A166,祝日!$A:$C,2,FALSE)
  ),
  ""
)</f>
        <v/>
      </c>
      <c r="D166" s="36" t="str">
        <f>IFERROR(
  IF(
    VLOOKUP($A166,祝日!$A:$C,3,FALSE)="",
    "",
    VLOOKUP($A166,祝日!$A:$C,3,FALSE)
  ),
  ""
)</f>
        <v/>
      </c>
    </row>
    <row r="167" spans="1:4" ht="15.75" x14ac:dyDescent="0.25">
      <c r="A167" s="35">
        <v>43996</v>
      </c>
      <c r="B167" s="60">
        <v>8</v>
      </c>
      <c r="C167" s="36" t="str">
        <f>IFERROR(
  IF(
    VLOOKUP($A167,祝日!$A:$C,2,FALSE)="",
    "",
    VLOOKUP($A167,祝日!$A:$C,2,FALSE)
  ),
  ""
)</f>
        <v/>
      </c>
      <c r="D167" s="36" t="str">
        <f>IFERROR(
  IF(
    VLOOKUP($A167,祝日!$A:$C,3,FALSE)="",
    "",
    VLOOKUP($A167,祝日!$A:$C,3,FALSE)
  ),
  ""
)</f>
        <v/>
      </c>
    </row>
    <row r="168" spans="1:4" ht="15.75" x14ac:dyDescent="0.25">
      <c r="A168" s="35">
        <v>43997</v>
      </c>
      <c r="B168" s="60">
        <v>8</v>
      </c>
      <c r="C168" s="36" t="str">
        <f>IFERROR(
  IF(
    VLOOKUP($A168,祝日!$A:$C,2,FALSE)="",
    "",
    VLOOKUP($A168,祝日!$A:$C,2,FALSE)
  ),
  ""
)</f>
        <v/>
      </c>
      <c r="D168" s="36" t="str">
        <f>IFERROR(
  IF(
    VLOOKUP($A168,祝日!$A:$C,3,FALSE)="",
    "",
    VLOOKUP($A168,祝日!$A:$C,3,FALSE)
  ),
  ""
)</f>
        <v/>
      </c>
    </row>
    <row r="169" spans="1:4" ht="15.75" x14ac:dyDescent="0.25">
      <c r="A169" s="35">
        <v>43998</v>
      </c>
      <c r="B169" s="60">
        <v>8</v>
      </c>
      <c r="C169" s="36" t="str">
        <f>IFERROR(
  IF(
    VLOOKUP($A169,祝日!$A:$C,2,FALSE)="",
    "",
    VLOOKUP($A169,祝日!$A:$C,2,FALSE)
  ),
  ""
)</f>
        <v/>
      </c>
      <c r="D169" s="36" t="str">
        <f>IFERROR(
  IF(
    VLOOKUP($A169,祝日!$A:$C,3,FALSE)="",
    "",
    VLOOKUP($A169,祝日!$A:$C,3,FALSE)
  ),
  ""
)</f>
        <v/>
      </c>
    </row>
    <row r="170" spans="1:4" ht="15.75" x14ac:dyDescent="0.25">
      <c r="A170" s="35">
        <v>43999</v>
      </c>
      <c r="B170" s="60">
        <v>8</v>
      </c>
      <c r="C170" s="36" t="str">
        <f>IFERROR(
  IF(
    VLOOKUP($A170,祝日!$A:$C,2,FALSE)="",
    "",
    VLOOKUP($A170,祝日!$A:$C,2,FALSE)
  ),
  ""
)</f>
        <v/>
      </c>
      <c r="D170" s="36" t="str">
        <f>IFERROR(
  IF(
    VLOOKUP($A170,祝日!$A:$C,3,FALSE)="",
    "",
    VLOOKUP($A170,祝日!$A:$C,3,FALSE)
  ),
  ""
)</f>
        <v/>
      </c>
    </row>
    <row r="171" spans="1:4" ht="15.75" x14ac:dyDescent="0.25">
      <c r="A171" s="35">
        <v>44000</v>
      </c>
      <c r="B171" s="60">
        <v>8</v>
      </c>
      <c r="C171" s="36" t="str">
        <f>IFERROR(
  IF(
    VLOOKUP($A171,祝日!$A:$C,2,FALSE)="",
    "",
    VLOOKUP($A171,祝日!$A:$C,2,FALSE)
  ),
  ""
)</f>
        <v/>
      </c>
      <c r="D171" s="36" t="str">
        <f>IFERROR(
  IF(
    VLOOKUP($A171,祝日!$A:$C,3,FALSE)="",
    "",
    VLOOKUP($A171,祝日!$A:$C,3,FALSE)
  ),
  ""
)</f>
        <v/>
      </c>
    </row>
    <row r="172" spans="1:4" ht="15.75" x14ac:dyDescent="0.25">
      <c r="A172" s="35">
        <v>44001</v>
      </c>
      <c r="B172" s="60">
        <v>8</v>
      </c>
      <c r="C172" s="36" t="str">
        <f>IFERROR(
  IF(
    VLOOKUP($A172,祝日!$A:$C,2,FALSE)="",
    "",
    VLOOKUP($A172,祝日!$A:$C,2,FALSE)
  ),
  ""
)</f>
        <v/>
      </c>
      <c r="D172" s="36" t="str">
        <f>IFERROR(
  IF(
    VLOOKUP($A172,祝日!$A:$C,3,FALSE)="",
    "",
    VLOOKUP($A172,祝日!$A:$C,3,FALSE)
  ),
  ""
)</f>
        <v/>
      </c>
    </row>
    <row r="173" spans="1:4" ht="15.75" x14ac:dyDescent="0.25">
      <c r="A173" s="35">
        <v>44002</v>
      </c>
      <c r="B173" s="60">
        <v>8</v>
      </c>
      <c r="C173" s="36" t="str">
        <f>IFERROR(
  IF(
    VLOOKUP($A173,祝日!$A:$C,2,FALSE)="",
    "",
    VLOOKUP($A173,祝日!$A:$C,2,FALSE)
  ),
  ""
)</f>
        <v/>
      </c>
      <c r="D173" s="36" t="str">
        <f>IFERROR(
  IF(
    VLOOKUP($A173,祝日!$A:$C,3,FALSE)="",
    "",
    VLOOKUP($A173,祝日!$A:$C,3,FALSE)
  ),
  ""
)</f>
        <v/>
      </c>
    </row>
    <row r="174" spans="1:4" ht="15.75" x14ac:dyDescent="0.25">
      <c r="A174" s="35">
        <v>44003</v>
      </c>
      <c r="B174" s="60">
        <v>8</v>
      </c>
      <c r="C174" s="36" t="str">
        <f>IFERROR(
  IF(
    VLOOKUP($A174,祝日!$A:$C,2,FALSE)="",
    "",
    VLOOKUP($A174,祝日!$A:$C,2,FALSE)
  ),
  ""
)</f>
        <v/>
      </c>
      <c r="D174" s="36" t="str">
        <f>IFERROR(
  IF(
    VLOOKUP($A174,祝日!$A:$C,3,FALSE)="",
    "",
    VLOOKUP($A174,祝日!$A:$C,3,FALSE)
  ),
  ""
)</f>
        <v/>
      </c>
    </row>
    <row r="175" spans="1:4" ht="15.75" x14ac:dyDescent="0.25">
      <c r="A175" s="35">
        <v>44004</v>
      </c>
      <c r="B175" s="60">
        <v>8</v>
      </c>
      <c r="C175" s="36" t="str">
        <f>IFERROR(
  IF(
    VLOOKUP($A175,祝日!$A:$C,2,FALSE)="",
    "",
    VLOOKUP($A175,祝日!$A:$C,2,FALSE)
  ),
  ""
)</f>
        <v/>
      </c>
      <c r="D175" s="36" t="str">
        <f>IFERROR(
  IF(
    VLOOKUP($A175,祝日!$A:$C,3,FALSE)="",
    "",
    VLOOKUP($A175,祝日!$A:$C,3,FALSE)
  ),
  ""
)</f>
        <v/>
      </c>
    </row>
    <row r="176" spans="1:4" ht="15.75" x14ac:dyDescent="0.25">
      <c r="A176" s="35">
        <v>44005</v>
      </c>
      <c r="B176" s="60">
        <v>8</v>
      </c>
      <c r="C176" s="36" t="str">
        <f>IFERROR(
  IF(
    VLOOKUP($A176,祝日!$A:$C,2,FALSE)="",
    "",
    VLOOKUP($A176,祝日!$A:$C,2,FALSE)
  ),
  ""
)</f>
        <v/>
      </c>
      <c r="D176" s="36" t="str">
        <f>IFERROR(
  IF(
    VLOOKUP($A176,祝日!$A:$C,3,FALSE)="",
    "",
    VLOOKUP($A176,祝日!$A:$C,3,FALSE)
  ),
  ""
)</f>
        <v/>
      </c>
    </row>
    <row r="177" spans="1:4" ht="15.75" x14ac:dyDescent="0.25">
      <c r="A177" s="35">
        <v>44006</v>
      </c>
      <c r="B177" s="60">
        <v>8</v>
      </c>
      <c r="C177" s="36" t="str">
        <f>IFERROR(
  IF(
    VLOOKUP($A177,祝日!$A:$C,2,FALSE)="",
    "",
    VLOOKUP($A177,祝日!$A:$C,2,FALSE)
  ),
  ""
)</f>
        <v/>
      </c>
      <c r="D177" s="36" t="str">
        <f>IFERROR(
  IF(
    VLOOKUP($A177,祝日!$A:$C,3,FALSE)="",
    "",
    VLOOKUP($A177,祝日!$A:$C,3,FALSE)
  ),
  ""
)</f>
        <v/>
      </c>
    </row>
    <row r="178" spans="1:4" ht="15.75" x14ac:dyDescent="0.25">
      <c r="A178" s="35">
        <v>44007</v>
      </c>
      <c r="B178" s="60">
        <v>8</v>
      </c>
      <c r="C178" s="36" t="str">
        <f>IFERROR(
  IF(
    VLOOKUP($A178,祝日!$A:$C,2,FALSE)="",
    "",
    VLOOKUP($A178,祝日!$A:$C,2,FALSE)
  ),
  ""
)</f>
        <v/>
      </c>
      <c r="D178" s="36" t="str">
        <f>IFERROR(
  IF(
    VLOOKUP($A178,祝日!$A:$C,3,FALSE)="",
    "",
    VLOOKUP($A178,祝日!$A:$C,3,FALSE)
  ),
  ""
)</f>
        <v/>
      </c>
    </row>
    <row r="179" spans="1:4" ht="15.75" x14ac:dyDescent="0.25">
      <c r="A179" s="35">
        <v>44008</v>
      </c>
      <c r="B179" s="60">
        <v>8</v>
      </c>
      <c r="C179" s="36" t="str">
        <f>IFERROR(
  IF(
    VLOOKUP($A179,祝日!$A:$C,2,FALSE)="",
    "",
    VLOOKUP($A179,祝日!$A:$C,2,FALSE)
  ),
  ""
)</f>
        <v/>
      </c>
      <c r="D179" s="36" t="str">
        <f>IFERROR(
  IF(
    VLOOKUP($A179,祝日!$A:$C,3,FALSE)="",
    "",
    VLOOKUP($A179,祝日!$A:$C,3,FALSE)
  ),
  ""
)</f>
        <v/>
      </c>
    </row>
    <row r="180" spans="1:4" ht="15.75" x14ac:dyDescent="0.25">
      <c r="A180" s="35">
        <v>44009</v>
      </c>
      <c r="B180" s="60">
        <v>8</v>
      </c>
      <c r="C180" s="36" t="str">
        <f>IFERROR(
  IF(
    VLOOKUP($A180,祝日!$A:$C,2,FALSE)="",
    "",
    VLOOKUP($A180,祝日!$A:$C,2,FALSE)
  ),
  ""
)</f>
        <v/>
      </c>
      <c r="D180" s="36" t="str">
        <f>IFERROR(
  IF(
    VLOOKUP($A180,祝日!$A:$C,3,FALSE)="",
    "",
    VLOOKUP($A180,祝日!$A:$C,3,FALSE)
  ),
  ""
)</f>
        <v/>
      </c>
    </row>
    <row r="181" spans="1:4" ht="15.75" x14ac:dyDescent="0.25">
      <c r="A181" s="35">
        <v>44010</v>
      </c>
      <c r="B181" s="60">
        <v>8</v>
      </c>
      <c r="C181" s="36" t="str">
        <f>IFERROR(
  IF(
    VLOOKUP($A181,祝日!$A:$C,2,FALSE)="",
    "",
    VLOOKUP($A181,祝日!$A:$C,2,FALSE)
  ),
  ""
)</f>
        <v/>
      </c>
      <c r="D181" s="36" t="str">
        <f>IFERROR(
  IF(
    VLOOKUP($A181,祝日!$A:$C,3,FALSE)="",
    "",
    VLOOKUP($A181,祝日!$A:$C,3,FALSE)
  ),
  ""
)</f>
        <v/>
      </c>
    </row>
    <row r="182" spans="1:4" ht="15.75" x14ac:dyDescent="0.25">
      <c r="A182" s="35">
        <v>44011</v>
      </c>
      <c r="B182" s="60">
        <v>8</v>
      </c>
      <c r="C182" s="36" t="str">
        <f>IFERROR(
  IF(
    VLOOKUP($A182,祝日!$A:$C,2,FALSE)="",
    "",
    VLOOKUP($A182,祝日!$A:$C,2,FALSE)
  ),
  ""
)</f>
        <v/>
      </c>
      <c r="D182" s="36" t="str">
        <f>IFERROR(
  IF(
    VLOOKUP($A182,祝日!$A:$C,3,FALSE)="",
    "",
    VLOOKUP($A182,祝日!$A:$C,3,FALSE)
  ),
  ""
)</f>
        <v/>
      </c>
    </row>
    <row r="183" spans="1:4" ht="15.75" x14ac:dyDescent="0.25">
      <c r="A183" s="35">
        <v>44012</v>
      </c>
      <c r="B183" s="60">
        <v>8</v>
      </c>
      <c r="C183" s="36" t="str">
        <f>IFERROR(
  IF(
    VLOOKUP($A183,祝日!$A:$C,2,FALSE)="",
    "",
    VLOOKUP($A183,祝日!$A:$C,2,FALSE)
  ),
  ""
)</f>
        <v/>
      </c>
      <c r="D183" s="36" t="str">
        <f>IFERROR(
  IF(
    VLOOKUP($A183,祝日!$A:$C,3,FALSE)="",
    "",
    VLOOKUP($A183,祝日!$A:$C,3,FALSE)
  ),
  ""
)</f>
        <v/>
      </c>
    </row>
    <row r="184" spans="1:4" ht="15.75" x14ac:dyDescent="0.25">
      <c r="A184" s="35">
        <v>44013</v>
      </c>
      <c r="B184" s="60">
        <v>8</v>
      </c>
      <c r="C184" s="36" t="str">
        <f>IFERROR(
  IF(
    VLOOKUP($A184,祝日!$A:$C,2,FALSE)="",
    "",
    VLOOKUP($A184,祝日!$A:$C,2,FALSE)
  ),
  ""
)</f>
        <v/>
      </c>
      <c r="D184" s="36" t="str">
        <f>IFERROR(
  IF(
    VLOOKUP($A184,祝日!$A:$C,3,FALSE)="",
    "",
    VLOOKUP($A184,祝日!$A:$C,3,FALSE)
  ),
  ""
)</f>
        <v/>
      </c>
    </row>
    <row r="185" spans="1:4" ht="15.75" x14ac:dyDescent="0.25">
      <c r="A185" s="35">
        <v>44014</v>
      </c>
      <c r="B185" s="60">
        <v>8</v>
      </c>
      <c r="C185" s="36" t="str">
        <f>IFERROR(
  IF(
    VLOOKUP($A185,祝日!$A:$C,2,FALSE)="",
    "",
    VLOOKUP($A185,祝日!$A:$C,2,FALSE)
  ),
  ""
)</f>
        <v/>
      </c>
      <c r="D185" s="36" t="str">
        <f>IFERROR(
  IF(
    VLOOKUP($A185,祝日!$A:$C,3,FALSE)="",
    "",
    VLOOKUP($A185,祝日!$A:$C,3,FALSE)
  ),
  ""
)</f>
        <v/>
      </c>
    </row>
    <row r="186" spans="1:4" ht="15.75" x14ac:dyDescent="0.25">
      <c r="A186" s="35">
        <v>44015</v>
      </c>
      <c r="B186" s="60">
        <v>8</v>
      </c>
      <c r="C186" s="36" t="str">
        <f>IFERROR(
  IF(
    VLOOKUP($A186,祝日!$A:$C,2,FALSE)="",
    "",
    VLOOKUP($A186,祝日!$A:$C,2,FALSE)
  ),
  ""
)</f>
        <v/>
      </c>
      <c r="D186" s="36" t="str">
        <f>IFERROR(
  IF(
    VLOOKUP($A186,祝日!$A:$C,3,FALSE)="",
    "",
    VLOOKUP($A186,祝日!$A:$C,3,FALSE)
  ),
  ""
)</f>
        <v/>
      </c>
    </row>
    <row r="187" spans="1:4" ht="15.75" x14ac:dyDescent="0.25">
      <c r="A187" s="35">
        <v>44016</v>
      </c>
      <c r="B187" s="60">
        <v>8</v>
      </c>
      <c r="C187" s="36" t="str">
        <f>IFERROR(
  IF(
    VLOOKUP($A187,祝日!$A:$C,2,FALSE)="",
    "",
    VLOOKUP($A187,祝日!$A:$C,2,FALSE)
  ),
  ""
)</f>
        <v/>
      </c>
      <c r="D187" s="36" t="str">
        <f>IFERROR(
  IF(
    VLOOKUP($A187,祝日!$A:$C,3,FALSE)="",
    "",
    VLOOKUP($A187,祝日!$A:$C,3,FALSE)
  ),
  ""
)</f>
        <v/>
      </c>
    </row>
    <row r="188" spans="1:4" ht="15.75" x14ac:dyDescent="0.25">
      <c r="A188" s="35">
        <v>44017</v>
      </c>
      <c r="B188" s="60">
        <v>8</v>
      </c>
      <c r="C188" s="36" t="str">
        <f>IFERROR(
  IF(
    VLOOKUP($A188,祝日!$A:$C,2,FALSE)="",
    "",
    VLOOKUP($A188,祝日!$A:$C,2,FALSE)
  ),
  ""
)</f>
        <v/>
      </c>
      <c r="D188" s="36" t="str">
        <f>IFERROR(
  IF(
    VLOOKUP($A188,祝日!$A:$C,3,FALSE)="",
    "",
    VLOOKUP($A188,祝日!$A:$C,3,FALSE)
  ),
  ""
)</f>
        <v/>
      </c>
    </row>
    <row r="189" spans="1:4" ht="15.75" x14ac:dyDescent="0.25">
      <c r="A189" s="35">
        <v>44018</v>
      </c>
      <c r="B189" s="60">
        <v>8</v>
      </c>
      <c r="C189" s="36" t="str">
        <f>IFERROR(
  IF(
    VLOOKUP($A189,祝日!$A:$C,2,FALSE)="",
    "",
    VLOOKUP($A189,祝日!$A:$C,2,FALSE)
  ),
  ""
)</f>
        <v/>
      </c>
      <c r="D189" s="36" t="str">
        <f>IFERROR(
  IF(
    VLOOKUP($A189,祝日!$A:$C,3,FALSE)="",
    "",
    VLOOKUP($A189,祝日!$A:$C,3,FALSE)
  ),
  ""
)</f>
        <v/>
      </c>
    </row>
    <row r="190" spans="1:4" ht="15.75" x14ac:dyDescent="0.25">
      <c r="A190" s="35">
        <v>44019</v>
      </c>
      <c r="B190" s="60">
        <v>8</v>
      </c>
      <c r="C190" s="36" t="str">
        <f>IFERROR(
  IF(
    VLOOKUP($A190,祝日!$A:$C,2,FALSE)="",
    "",
    VLOOKUP($A190,祝日!$A:$C,2,FALSE)
  ),
  ""
)</f>
        <v/>
      </c>
      <c r="D190" s="36" t="str">
        <f>IFERROR(
  IF(
    VLOOKUP($A190,祝日!$A:$C,3,FALSE)="",
    "",
    VLOOKUP($A190,祝日!$A:$C,3,FALSE)
  ),
  ""
)</f>
        <v/>
      </c>
    </row>
    <row r="191" spans="1:4" ht="15.75" x14ac:dyDescent="0.25">
      <c r="A191" s="35">
        <v>44020</v>
      </c>
      <c r="B191" s="60">
        <v>8</v>
      </c>
      <c r="C191" s="36" t="str">
        <f>IFERROR(
  IF(
    VLOOKUP($A191,祝日!$A:$C,2,FALSE)="",
    "",
    VLOOKUP($A191,祝日!$A:$C,2,FALSE)
  ),
  ""
)</f>
        <v/>
      </c>
      <c r="D191" s="36" t="str">
        <f>IFERROR(
  IF(
    VLOOKUP($A191,祝日!$A:$C,3,FALSE)="",
    "",
    VLOOKUP($A191,祝日!$A:$C,3,FALSE)
  ),
  ""
)</f>
        <v/>
      </c>
    </row>
    <row r="192" spans="1:4" ht="15.75" x14ac:dyDescent="0.25">
      <c r="A192" s="35">
        <v>44021</v>
      </c>
      <c r="B192" s="60">
        <v>8</v>
      </c>
      <c r="C192" s="36" t="str">
        <f>IFERROR(
  IF(
    VLOOKUP($A192,祝日!$A:$C,2,FALSE)="",
    "",
    VLOOKUP($A192,祝日!$A:$C,2,FALSE)
  ),
  ""
)</f>
        <v/>
      </c>
      <c r="D192" s="36" t="str">
        <f>IFERROR(
  IF(
    VLOOKUP($A192,祝日!$A:$C,3,FALSE)="",
    "",
    VLOOKUP($A192,祝日!$A:$C,3,FALSE)
  ),
  ""
)</f>
        <v/>
      </c>
    </row>
    <row r="193" spans="1:4" ht="15.75" x14ac:dyDescent="0.25">
      <c r="A193" s="35">
        <v>44022</v>
      </c>
      <c r="B193" s="60">
        <v>8</v>
      </c>
      <c r="C193" s="36" t="str">
        <f>IFERROR(
  IF(
    VLOOKUP($A193,祝日!$A:$C,2,FALSE)="",
    "",
    VLOOKUP($A193,祝日!$A:$C,2,FALSE)
  ),
  ""
)</f>
        <v/>
      </c>
      <c r="D193" s="36" t="str">
        <f>IFERROR(
  IF(
    VLOOKUP($A193,祝日!$A:$C,3,FALSE)="",
    "",
    VLOOKUP($A193,祝日!$A:$C,3,FALSE)
  ),
  ""
)</f>
        <v/>
      </c>
    </row>
    <row r="194" spans="1:4" ht="15.75" x14ac:dyDescent="0.25">
      <c r="A194" s="35">
        <v>44023</v>
      </c>
      <c r="B194" s="60">
        <v>8</v>
      </c>
      <c r="C194" s="36" t="str">
        <f>IFERROR(
  IF(
    VLOOKUP($A194,祝日!$A:$C,2,FALSE)="",
    "",
    VLOOKUP($A194,祝日!$A:$C,2,FALSE)
  ),
  ""
)</f>
        <v/>
      </c>
      <c r="D194" s="36" t="str">
        <f>IFERROR(
  IF(
    VLOOKUP($A194,祝日!$A:$C,3,FALSE)="",
    "",
    VLOOKUP($A194,祝日!$A:$C,3,FALSE)
  ),
  ""
)</f>
        <v/>
      </c>
    </row>
    <row r="195" spans="1:4" ht="15.75" x14ac:dyDescent="0.25">
      <c r="A195" s="35">
        <v>44024</v>
      </c>
      <c r="B195" s="60">
        <v>8</v>
      </c>
      <c r="C195" s="36" t="str">
        <f>IFERROR(
  IF(
    VLOOKUP($A195,祝日!$A:$C,2,FALSE)="",
    "",
    VLOOKUP($A195,祝日!$A:$C,2,FALSE)
  ),
  ""
)</f>
        <v/>
      </c>
      <c r="D195" s="36" t="str">
        <f>IFERROR(
  IF(
    VLOOKUP($A195,祝日!$A:$C,3,FALSE)="",
    "",
    VLOOKUP($A195,祝日!$A:$C,3,FALSE)
  ),
  ""
)</f>
        <v/>
      </c>
    </row>
    <row r="196" spans="1:4" ht="15.75" x14ac:dyDescent="0.25">
      <c r="A196" s="35">
        <v>44025</v>
      </c>
      <c r="B196" s="60">
        <v>8</v>
      </c>
      <c r="C196" s="36" t="str">
        <f>IFERROR(
  IF(
    VLOOKUP($A196,祝日!$A:$C,2,FALSE)="",
    "",
    VLOOKUP($A196,祝日!$A:$C,2,FALSE)
  ),
  ""
)</f>
        <v/>
      </c>
      <c r="D196" s="36" t="str">
        <f>IFERROR(
  IF(
    VLOOKUP($A196,祝日!$A:$C,3,FALSE)="",
    "",
    VLOOKUP($A196,祝日!$A:$C,3,FALSE)
  ),
  ""
)</f>
        <v/>
      </c>
    </row>
    <row r="197" spans="1:4" ht="15.75" x14ac:dyDescent="0.25">
      <c r="A197" s="35">
        <v>44026</v>
      </c>
      <c r="B197" s="60">
        <v>8</v>
      </c>
      <c r="C197" s="36" t="str">
        <f>IFERROR(
  IF(
    VLOOKUP($A197,祝日!$A:$C,2,FALSE)="",
    "",
    VLOOKUP($A197,祝日!$A:$C,2,FALSE)
  ),
  ""
)</f>
        <v/>
      </c>
      <c r="D197" s="36" t="str">
        <f>IFERROR(
  IF(
    VLOOKUP($A197,祝日!$A:$C,3,FALSE)="",
    "",
    VLOOKUP($A197,祝日!$A:$C,3,FALSE)
  ),
  ""
)</f>
        <v/>
      </c>
    </row>
    <row r="198" spans="1:4" ht="15.75" x14ac:dyDescent="0.25">
      <c r="A198" s="35">
        <v>44027</v>
      </c>
      <c r="B198" s="60">
        <v>8</v>
      </c>
      <c r="C198" s="36" t="str">
        <f>IFERROR(
  IF(
    VLOOKUP($A198,祝日!$A:$C,2,FALSE)="",
    "",
    VLOOKUP($A198,祝日!$A:$C,2,FALSE)
  ),
  ""
)</f>
        <v/>
      </c>
      <c r="D198" s="36" t="str">
        <f>IFERROR(
  IF(
    VLOOKUP($A198,祝日!$A:$C,3,FALSE)="",
    "",
    VLOOKUP($A198,祝日!$A:$C,3,FALSE)
  ),
  ""
)</f>
        <v/>
      </c>
    </row>
    <row r="199" spans="1:4" ht="15.75" x14ac:dyDescent="0.25">
      <c r="A199" s="35">
        <v>44028</v>
      </c>
      <c r="B199" s="60">
        <v>8</v>
      </c>
      <c r="C199" s="36" t="str">
        <f>IFERROR(
  IF(
    VLOOKUP($A199,祝日!$A:$C,2,FALSE)="",
    "",
    VLOOKUP($A199,祝日!$A:$C,2,FALSE)
  ),
  ""
)</f>
        <v/>
      </c>
      <c r="D199" s="36" t="str">
        <f>IFERROR(
  IF(
    VLOOKUP($A199,祝日!$A:$C,3,FALSE)="",
    "",
    VLOOKUP($A199,祝日!$A:$C,3,FALSE)
  ),
  ""
)</f>
        <v/>
      </c>
    </row>
    <row r="200" spans="1:4" ht="15.75" x14ac:dyDescent="0.25">
      <c r="A200" s="35">
        <v>44029</v>
      </c>
      <c r="B200" s="60">
        <v>8</v>
      </c>
      <c r="C200" s="36" t="str">
        <f>IFERROR(
  IF(
    VLOOKUP($A200,祝日!$A:$C,2,FALSE)="",
    "",
    VLOOKUP($A200,祝日!$A:$C,2,FALSE)
  ),
  ""
)</f>
        <v/>
      </c>
      <c r="D200" s="36" t="str">
        <f>IFERROR(
  IF(
    VLOOKUP($A200,祝日!$A:$C,3,FALSE)="",
    "",
    VLOOKUP($A200,祝日!$A:$C,3,FALSE)
  ),
  ""
)</f>
        <v/>
      </c>
    </row>
    <row r="201" spans="1:4" ht="15.75" x14ac:dyDescent="0.25">
      <c r="A201" s="35">
        <v>44030</v>
      </c>
      <c r="B201" s="60">
        <v>8</v>
      </c>
      <c r="C201" s="36" t="str">
        <f>IFERROR(
  IF(
    VLOOKUP($A201,祝日!$A:$C,2,FALSE)="",
    "",
    VLOOKUP($A201,祝日!$A:$C,2,FALSE)
  ),
  ""
)</f>
        <v/>
      </c>
      <c r="D201" s="36" t="str">
        <f>IFERROR(
  IF(
    VLOOKUP($A201,祝日!$A:$C,3,FALSE)="",
    "",
    VLOOKUP($A201,祝日!$A:$C,3,FALSE)
  ),
  ""
)</f>
        <v/>
      </c>
    </row>
    <row r="202" spans="1:4" ht="15.75" x14ac:dyDescent="0.25">
      <c r="A202" s="35">
        <v>44031</v>
      </c>
      <c r="B202" s="60">
        <v>8</v>
      </c>
      <c r="C202" s="36" t="str">
        <f>IFERROR(
  IF(
    VLOOKUP($A202,祝日!$A:$C,2,FALSE)="",
    "",
    VLOOKUP($A202,祝日!$A:$C,2,FALSE)
  ),
  ""
)</f>
        <v/>
      </c>
      <c r="D202" s="36" t="str">
        <f>IFERROR(
  IF(
    VLOOKUP($A202,祝日!$A:$C,3,FALSE)="",
    "",
    VLOOKUP($A202,祝日!$A:$C,3,FALSE)
  ),
  ""
)</f>
        <v/>
      </c>
    </row>
    <row r="203" spans="1:4" ht="15.75" x14ac:dyDescent="0.25">
      <c r="A203" s="35">
        <v>44032</v>
      </c>
      <c r="B203" s="60">
        <v>8</v>
      </c>
      <c r="C203" s="36" t="str">
        <f>IFERROR(
  IF(
    VLOOKUP($A203,祝日!$A:$C,2,FALSE)="",
    "",
    VLOOKUP($A203,祝日!$A:$C,2,FALSE)
  ),
  ""
)</f>
        <v/>
      </c>
      <c r="D203" s="36" t="str">
        <f>IFERROR(
  IF(
    VLOOKUP($A203,祝日!$A:$C,3,FALSE)="",
    "",
    VLOOKUP($A203,祝日!$A:$C,3,FALSE)
  ),
  ""
)</f>
        <v/>
      </c>
    </row>
    <row r="204" spans="1:4" ht="15.75" x14ac:dyDescent="0.25">
      <c r="A204" s="35">
        <v>44033</v>
      </c>
      <c r="B204" s="60">
        <v>8</v>
      </c>
      <c r="C204" s="36" t="str">
        <f>IFERROR(
  IF(
    VLOOKUP($A204,祝日!$A:$C,2,FALSE)="",
    "",
    VLOOKUP($A204,祝日!$A:$C,2,FALSE)
  ),
  ""
)</f>
        <v/>
      </c>
      <c r="D204" s="36" t="str">
        <f>IFERROR(
  IF(
    VLOOKUP($A204,祝日!$A:$C,3,FALSE)="",
    "",
    VLOOKUP($A204,祝日!$A:$C,3,FALSE)
  ),
  ""
)</f>
        <v/>
      </c>
    </row>
    <row r="205" spans="1:4" ht="15.75" x14ac:dyDescent="0.25">
      <c r="A205" s="35">
        <v>44034</v>
      </c>
      <c r="B205" s="60">
        <v>8</v>
      </c>
      <c r="C205" s="36" t="str">
        <f>IFERROR(
  IF(
    VLOOKUP($A205,祝日!$A:$C,2,FALSE)="",
    "",
    VLOOKUP($A205,祝日!$A:$C,2,FALSE)
  ),
  ""
)</f>
        <v/>
      </c>
      <c r="D205" s="36" t="str">
        <f>IFERROR(
  IF(
    VLOOKUP($A205,祝日!$A:$C,3,FALSE)="",
    "",
    VLOOKUP($A205,祝日!$A:$C,3,FALSE)
  ),
  ""
)</f>
        <v/>
      </c>
    </row>
    <row r="206" spans="1:4" ht="15.75" x14ac:dyDescent="0.25">
      <c r="A206" s="35">
        <v>44035</v>
      </c>
      <c r="B206" s="60">
        <v>8</v>
      </c>
      <c r="C206" s="36" t="str">
        <f>IFERROR(
  IF(
    VLOOKUP($A206,祝日!$A:$C,2,FALSE)="",
    "",
    VLOOKUP($A206,祝日!$A:$C,2,FALSE)
  ),
  ""
)</f>
        <v xml:space="preserve">海の日 </v>
      </c>
      <c r="D206" s="36" t="str">
        <f>IFERROR(
  IF(
    VLOOKUP($A206,祝日!$A:$C,3,FALSE)="",
    "",
    VLOOKUP($A206,祝日!$A:$C,3,FALSE)
  ),
  ""
)</f>
        <v>2020年に限り移動</v>
      </c>
    </row>
    <row r="207" spans="1:4" ht="15.75" x14ac:dyDescent="0.25">
      <c r="A207" s="35">
        <v>44036</v>
      </c>
      <c r="B207" s="60">
        <v>8</v>
      </c>
      <c r="C207" s="36" t="str">
        <f>IFERROR(
  IF(
    VLOOKUP($A207,祝日!$A:$C,2,FALSE)="",
    "",
    VLOOKUP($A207,祝日!$A:$C,2,FALSE)
  ),
  ""
)</f>
        <v xml:space="preserve">スポーツの日 </v>
      </c>
      <c r="D207" s="36" t="str">
        <f>IFERROR(
  IF(
    VLOOKUP($A207,祝日!$A:$C,3,FALSE)="",
    "",
    VLOOKUP($A207,祝日!$A:$C,3,FALSE)
  ),
  ""
)</f>
        <v>2020年に限り移動</v>
      </c>
    </row>
    <row r="208" spans="1:4" ht="15.75" x14ac:dyDescent="0.25">
      <c r="A208" s="35">
        <v>44037</v>
      </c>
      <c r="B208" s="60">
        <v>8</v>
      </c>
      <c r="C208" s="36" t="str">
        <f>IFERROR(
  IF(
    VLOOKUP($A208,祝日!$A:$C,2,FALSE)="",
    "",
    VLOOKUP($A208,祝日!$A:$C,2,FALSE)
  ),
  ""
)</f>
        <v/>
      </c>
      <c r="D208" s="36" t="str">
        <f>IFERROR(
  IF(
    VLOOKUP($A208,祝日!$A:$C,3,FALSE)="",
    "",
    VLOOKUP($A208,祝日!$A:$C,3,FALSE)
  ),
  ""
)</f>
        <v/>
      </c>
    </row>
    <row r="209" spans="1:4" ht="15.75" x14ac:dyDescent="0.25">
      <c r="A209" s="35">
        <v>44038</v>
      </c>
      <c r="B209" s="60">
        <v>8</v>
      </c>
      <c r="C209" s="36" t="str">
        <f>IFERROR(
  IF(
    VLOOKUP($A209,祝日!$A:$C,2,FALSE)="",
    "",
    VLOOKUP($A209,祝日!$A:$C,2,FALSE)
  ),
  ""
)</f>
        <v/>
      </c>
      <c r="D209" s="36" t="str">
        <f>IFERROR(
  IF(
    VLOOKUP($A209,祝日!$A:$C,3,FALSE)="",
    "",
    VLOOKUP($A209,祝日!$A:$C,3,FALSE)
  ),
  ""
)</f>
        <v/>
      </c>
    </row>
    <row r="210" spans="1:4" ht="15.75" x14ac:dyDescent="0.25">
      <c r="A210" s="35">
        <v>44039</v>
      </c>
      <c r="B210" s="60">
        <v>8</v>
      </c>
      <c r="C210" s="36" t="str">
        <f>IFERROR(
  IF(
    VLOOKUP($A210,祝日!$A:$C,2,FALSE)="",
    "",
    VLOOKUP($A210,祝日!$A:$C,2,FALSE)
  ),
  ""
)</f>
        <v/>
      </c>
      <c r="D210" s="36" t="str">
        <f>IFERROR(
  IF(
    VLOOKUP($A210,祝日!$A:$C,3,FALSE)="",
    "",
    VLOOKUP($A210,祝日!$A:$C,3,FALSE)
  ),
  ""
)</f>
        <v/>
      </c>
    </row>
    <row r="211" spans="1:4" ht="15.75" x14ac:dyDescent="0.25">
      <c r="A211" s="35">
        <v>44040</v>
      </c>
      <c r="B211" s="60">
        <v>8</v>
      </c>
      <c r="C211" s="36" t="str">
        <f>IFERROR(
  IF(
    VLOOKUP($A211,祝日!$A:$C,2,FALSE)="",
    "",
    VLOOKUP($A211,祝日!$A:$C,2,FALSE)
  ),
  ""
)</f>
        <v/>
      </c>
      <c r="D211" s="36" t="str">
        <f>IFERROR(
  IF(
    VLOOKUP($A211,祝日!$A:$C,3,FALSE)="",
    "",
    VLOOKUP($A211,祝日!$A:$C,3,FALSE)
  ),
  ""
)</f>
        <v/>
      </c>
    </row>
    <row r="212" spans="1:4" ht="15.75" x14ac:dyDescent="0.25">
      <c r="A212" s="35">
        <v>44041</v>
      </c>
      <c r="B212" s="60">
        <v>8</v>
      </c>
      <c r="C212" s="36" t="str">
        <f>IFERROR(
  IF(
    VLOOKUP($A212,祝日!$A:$C,2,FALSE)="",
    "",
    VLOOKUP($A212,祝日!$A:$C,2,FALSE)
  ),
  ""
)</f>
        <v/>
      </c>
      <c r="D212" s="36" t="str">
        <f>IFERROR(
  IF(
    VLOOKUP($A212,祝日!$A:$C,3,FALSE)="",
    "",
    VLOOKUP($A212,祝日!$A:$C,3,FALSE)
  ),
  ""
)</f>
        <v/>
      </c>
    </row>
    <row r="213" spans="1:4" ht="15.75" x14ac:dyDescent="0.25">
      <c r="A213" s="35">
        <v>44042</v>
      </c>
      <c r="B213" s="60">
        <v>8</v>
      </c>
      <c r="C213" s="36" t="str">
        <f>IFERROR(
  IF(
    VLOOKUP($A213,祝日!$A:$C,2,FALSE)="",
    "",
    VLOOKUP($A213,祝日!$A:$C,2,FALSE)
  ),
  ""
)</f>
        <v/>
      </c>
      <c r="D213" s="36" t="str">
        <f>IFERROR(
  IF(
    VLOOKUP($A213,祝日!$A:$C,3,FALSE)="",
    "",
    VLOOKUP($A213,祝日!$A:$C,3,FALSE)
  ),
  ""
)</f>
        <v/>
      </c>
    </row>
    <row r="214" spans="1:4" ht="15.75" x14ac:dyDescent="0.25">
      <c r="A214" s="35">
        <v>44043</v>
      </c>
      <c r="B214" s="60">
        <v>8</v>
      </c>
      <c r="C214" s="36" t="str">
        <f>IFERROR(
  IF(
    VLOOKUP($A214,祝日!$A:$C,2,FALSE)="",
    "",
    VLOOKUP($A214,祝日!$A:$C,2,FALSE)
  ),
  ""
)</f>
        <v/>
      </c>
      <c r="D214" s="36" t="str">
        <f>IFERROR(
  IF(
    VLOOKUP($A214,祝日!$A:$C,3,FALSE)="",
    "",
    VLOOKUP($A214,祝日!$A:$C,3,FALSE)
  ),
  ""
)</f>
        <v/>
      </c>
    </row>
    <row r="215" spans="1:4" ht="15.75" x14ac:dyDescent="0.25">
      <c r="A215" s="35">
        <v>44044</v>
      </c>
      <c r="B215" s="60">
        <v>8</v>
      </c>
      <c r="C215" s="36" t="str">
        <f>IFERROR(
  IF(
    VLOOKUP($A215,祝日!$A:$C,2,FALSE)="",
    "",
    VLOOKUP($A215,祝日!$A:$C,2,FALSE)
  ),
  ""
)</f>
        <v/>
      </c>
      <c r="D215" s="36" t="str">
        <f>IFERROR(
  IF(
    VLOOKUP($A215,祝日!$A:$C,3,FALSE)="",
    "",
    VLOOKUP($A215,祝日!$A:$C,3,FALSE)
  ),
  ""
)</f>
        <v/>
      </c>
    </row>
    <row r="216" spans="1:4" ht="15.75" x14ac:dyDescent="0.25">
      <c r="A216" s="35">
        <v>44045</v>
      </c>
      <c r="B216" s="60">
        <v>8</v>
      </c>
      <c r="C216" s="36" t="str">
        <f>IFERROR(
  IF(
    VLOOKUP($A216,祝日!$A:$C,2,FALSE)="",
    "",
    VLOOKUP($A216,祝日!$A:$C,2,FALSE)
  ),
  ""
)</f>
        <v/>
      </c>
      <c r="D216" s="36" t="str">
        <f>IFERROR(
  IF(
    VLOOKUP($A216,祝日!$A:$C,3,FALSE)="",
    "",
    VLOOKUP($A216,祝日!$A:$C,3,FALSE)
  ),
  ""
)</f>
        <v/>
      </c>
    </row>
    <row r="217" spans="1:4" ht="15.75" x14ac:dyDescent="0.25">
      <c r="A217" s="35">
        <v>44046</v>
      </c>
      <c r="B217" s="60">
        <v>8</v>
      </c>
      <c r="C217" s="36" t="str">
        <f>IFERROR(
  IF(
    VLOOKUP($A217,祝日!$A:$C,2,FALSE)="",
    "",
    VLOOKUP($A217,祝日!$A:$C,2,FALSE)
  ),
  ""
)</f>
        <v/>
      </c>
      <c r="D217" s="36" t="str">
        <f>IFERROR(
  IF(
    VLOOKUP($A217,祝日!$A:$C,3,FALSE)="",
    "",
    VLOOKUP($A217,祝日!$A:$C,3,FALSE)
  ),
  ""
)</f>
        <v/>
      </c>
    </row>
    <row r="218" spans="1:4" ht="15.75" x14ac:dyDescent="0.25">
      <c r="A218" s="35">
        <v>44047</v>
      </c>
      <c r="B218" s="60">
        <v>8</v>
      </c>
      <c r="C218" s="36" t="str">
        <f>IFERROR(
  IF(
    VLOOKUP($A218,祝日!$A:$C,2,FALSE)="",
    "",
    VLOOKUP($A218,祝日!$A:$C,2,FALSE)
  ),
  ""
)</f>
        <v/>
      </c>
      <c r="D218" s="36" t="str">
        <f>IFERROR(
  IF(
    VLOOKUP($A218,祝日!$A:$C,3,FALSE)="",
    "",
    VLOOKUP($A218,祝日!$A:$C,3,FALSE)
  ),
  ""
)</f>
        <v/>
      </c>
    </row>
    <row r="219" spans="1:4" ht="15.75" x14ac:dyDescent="0.25">
      <c r="A219" s="35">
        <v>44048</v>
      </c>
      <c r="B219" s="60">
        <v>8</v>
      </c>
      <c r="C219" s="36" t="str">
        <f>IFERROR(
  IF(
    VLOOKUP($A219,祝日!$A:$C,2,FALSE)="",
    "",
    VLOOKUP($A219,祝日!$A:$C,2,FALSE)
  ),
  ""
)</f>
        <v/>
      </c>
      <c r="D219" s="36" t="str">
        <f>IFERROR(
  IF(
    VLOOKUP($A219,祝日!$A:$C,3,FALSE)="",
    "",
    VLOOKUP($A219,祝日!$A:$C,3,FALSE)
  ),
  ""
)</f>
        <v/>
      </c>
    </row>
    <row r="220" spans="1:4" ht="15.75" x14ac:dyDescent="0.25">
      <c r="A220" s="35">
        <v>44049</v>
      </c>
      <c r="B220" s="60">
        <v>8</v>
      </c>
      <c r="C220" s="36" t="str">
        <f>IFERROR(
  IF(
    VLOOKUP($A220,祝日!$A:$C,2,FALSE)="",
    "",
    VLOOKUP($A220,祝日!$A:$C,2,FALSE)
  ),
  ""
)</f>
        <v/>
      </c>
      <c r="D220" s="36" t="str">
        <f>IFERROR(
  IF(
    VLOOKUP($A220,祝日!$A:$C,3,FALSE)="",
    "",
    VLOOKUP($A220,祝日!$A:$C,3,FALSE)
  ),
  ""
)</f>
        <v/>
      </c>
    </row>
    <row r="221" spans="1:4" ht="15.75" x14ac:dyDescent="0.25">
      <c r="A221" s="35">
        <v>44050</v>
      </c>
      <c r="B221" s="60">
        <v>8</v>
      </c>
      <c r="C221" s="36" t="str">
        <f>IFERROR(
  IF(
    VLOOKUP($A221,祝日!$A:$C,2,FALSE)="",
    "",
    VLOOKUP($A221,祝日!$A:$C,2,FALSE)
  ),
  ""
)</f>
        <v/>
      </c>
      <c r="D221" s="36" t="str">
        <f>IFERROR(
  IF(
    VLOOKUP($A221,祝日!$A:$C,3,FALSE)="",
    "",
    VLOOKUP($A221,祝日!$A:$C,3,FALSE)
  ),
  ""
)</f>
        <v/>
      </c>
    </row>
    <row r="222" spans="1:4" ht="15.75" x14ac:dyDescent="0.25">
      <c r="A222" s="35">
        <v>44051</v>
      </c>
      <c r="B222" s="60">
        <v>8</v>
      </c>
      <c r="C222" s="36" t="str">
        <f>IFERROR(
  IF(
    VLOOKUP($A222,祝日!$A:$C,2,FALSE)="",
    "",
    VLOOKUP($A222,祝日!$A:$C,2,FALSE)
  ),
  ""
)</f>
        <v/>
      </c>
      <c r="D222" s="36" t="str">
        <f>IFERROR(
  IF(
    VLOOKUP($A222,祝日!$A:$C,3,FALSE)="",
    "",
    VLOOKUP($A222,祝日!$A:$C,3,FALSE)
  ),
  ""
)</f>
        <v/>
      </c>
    </row>
    <row r="223" spans="1:4" ht="15.75" x14ac:dyDescent="0.25">
      <c r="A223" s="35">
        <v>44052</v>
      </c>
      <c r="B223" s="60">
        <v>8</v>
      </c>
      <c r="C223" s="36" t="str">
        <f>IFERROR(
  IF(
    VLOOKUP($A223,祝日!$A:$C,2,FALSE)="",
    "",
    VLOOKUP($A223,祝日!$A:$C,2,FALSE)
  ),
  ""
)</f>
        <v/>
      </c>
      <c r="D223" s="36" t="str">
        <f>IFERROR(
  IF(
    VLOOKUP($A223,祝日!$A:$C,3,FALSE)="",
    "",
    VLOOKUP($A223,祝日!$A:$C,3,FALSE)
  ),
  ""
)</f>
        <v/>
      </c>
    </row>
    <row r="224" spans="1:4" ht="15.75" x14ac:dyDescent="0.25">
      <c r="A224" s="35">
        <v>44053</v>
      </c>
      <c r="B224" s="60">
        <v>8</v>
      </c>
      <c r="C224" s="36" t="str">
        <f>IFERROR(
  IF(
    VLOOKUP($A224,祝日!$A:$C,2,FALSE)="",
    "",
    VLOOKUP($A224,祝日!$A:$C,2,FALSE)
  ),
  ""
)</f>
        <v xml:space="preserve">山の日 </v>
      </c>
      <c r="D224" s="36" t="str">
        <f>IFERROR(
  IF(
    VLOOKUP($A224,祝日!$A:$C,3,FALSE)="",
    "",
    VLOOKUP($A224,祝日!$A:$C,3,FALSE)
  ),
  ""
)</f>
        <v>2020年に限り移動</v>
      </c>
    </row>
    <row r="225" spans="1:4" ht="15.75" x14ac:dyDescent="0.25">
      <c r="A225" s="35">
        <v>44054</v>
      </c>
      <c r="B225" s="60">
        <v>8</v>
      </c>
      <c r="C225" s="36" t="str">
        <f>IFERROR(
  IF(
    VLOOKUP($A225,祝日!$A:$C,2,FALSE)="",
    "",
    VLOOKUP($A225,祝日!$A:$C,2,FALSE)
  ),
  ""
)</f>
        <v/>
      </c>
      <c r="D225" s="36" t="str">
        <f>IFERROR(
  IF(
    VLOOKUP($A225,祝日!$A:$C,3,FALSE)="",
    "",
    VLOOKUP($A225,祝日!$A:$C,3,FALSE)
  ),
  ""
)</f>
        <v/>
      </c>
    </row>
    <row r="226" spans="1:4" ht="15.75" x14ac:dyDescent="0.25">
      <c r="A226" s="35">
        <v>44055</v>
      </c>
      <c r="B226" s="60">
        <v>8</v>
      </c>
      <c r="C226" s="36" t="str">
        <f>IFERROR(
  IF(
    VLOOKUP($A226,祝日!$A:$C,2,FALSE)="",
    "",
    VLOOKUP($A226,祝日!$A:$C,2,FALSE)
  ),
  ""
)</f>
        <v/>
      </c>
      <c r="D226" s="36" t="str">
        <f>IFERROR(
  IF(
    VLOOKUP($A226,祝日!$A:$C,3,FALSE)="",
    "",
    VLOOKUP($A226,祝日!$A:$C,3,FALSE)
  ),
  ""
)</f>
        <v/>
      </c>
    </row>
    <row r="227" spans="1:4" ht="15.75" x14ac:dyDescent="0.25">
      <c r="A227" s="35">
        <v>44056</v>
      </c>
      <c r="B227" s="60">
        <v>8</v>
      </c>
      <c r="C227" s="36" t="str">
        <f>IFERROR(
  IF(
    VLOOKUP($A227,祝日!$A:$C,2,FALSE)="",
    "",
    VLOOKUP($A227,祝日!$A:$C,2,FALSE)
  ),
  ""
)</f>
        <v/>
      </c>
      <c r="D227" s="36" t="str">
        <f>IFERROR(
  IF(
    VLOOKUP($A227,祝日!$A:$C,3,FALSE)="",
    "",
    VLOOKUP($A227,祝日!$A:$C,3,FALSE)
  ),
  ""
)</f>
        <v/>
      </c>
    </row>
    <row r="228" spans="1:4" ht="15.75" x14ac:dyDescent="0.25">
      <c r="A228" s="35">
        <v>44057</v>
      </c>
      <c r="B228" s="60">
        <v>8</v>
      </c>
      <c r="C228" s="36" t="str">
        <f>IFERROR(
  IF(
    VLOOKUP($A228,祝日!$A:$C,2,FALSE)="",
    "",
    VLOOKUP($A228,祝日!$A:$C,2,FALSE)
  ),
  ""
)</f>
        <v/>
      </c>
      <c r="D228" s="36" t="str">
        <f>IFERROR(
  IF(
    VLOOKUP($A228,祝日!$A:$C,3,FALSE)="",
    "",
    VLOOKUP($A228,祝日!$A:$C,3,FALSE)
  ),
  ""
)</f>
        <v/>
      </c>
    </row>
    <row r="229" spans="1:4" ht="15.75" x14ac:dyDescent="0.25">
      <c r="A229" s="35">
        <v>44058</v>
      </c>
      <c r="B229" s="60">
        <v>8</v>
      </c>
      <c r="C229" s="36" t="str">
        <f>IFERROR(
  IF(
    VLOOKUP($A229,祝日!$A:$C,2,FALSE)="",
    "",
    VLOOKUP($A229,祝日!$A:$C,2,FALSE)
  ),
  ""
)</f>
        <v/>
      </c>
      <c r="D229" s="36" t="str">
        <f>IFERROR(
  IF(
    VLOOKUP($A229,祝日!$A:$C,3,FALSE)="",
    "",
    VLOOKUP($A229,祝日!$A:$C,3,FALSE)
  ),
  ""
)</f>
        <v/>
      </c>
    </row>
    <row r="230" spans="1:4" ht="15.75" x14ac:dyDescent="0.25">
      <c r="A230" s="35">
        <v>44059</v>
      </c>
      <c r="B230" s="60">
        <v>8</v>
      </c>
      <c r="C230" s="36" t="str">
        <f>IFERROR(
  IF(
    VLOOKUP($A230,祝日!$A:$C,2,FALSE)="",
    "",
    VLOOKUP($A230,祝日!$A:$C,2,FALSE)
  ),
  ""
)</f>
        <v/>
      </c>
      <c r="D230" s="36" t="str">
        <f>IFERROR(
  IF(
    VLOOKUP($A230,祝日!$A:$C,3,FALSE)="",
    "",
    VLOOKUP($A230,祝日!$A:$C,3,FALSE)
  ),
  ""
)</f>
        <v/>
      </c>
    </row>
    <row r="231" spans="1:4" ht="15.75" x14ac:dyDescent="0.25">
      <c r="A231" s="35">
        <v>44060</v>
      </c>
      <c r="B231" s="60">
        <v>8</v>
      </c>
      <c r="C231" s="36" t="str">
        <f>IFERROR(
  IF(
    VLOOKUP($A231,祝日!$A:$C,2,FALSE)="",
    "",
    VLOOKUP($A231,祝日!$A:$C,2,FALSE)
  ),
  ""
)</f>
        <v/>
      </c>
      <c r="D231" s="36" t="str">
        <f>IFERROR(
  IF(
    VLOOKUP($A231,祝日!$A:$C,3,FALSE)="",
    "",
    VLOOKUP($A231,祝日!$A:$C,3,FALSE)
  ),
  ""
)</f>
        <v/>
      </c>
    </row>
    <row r="232" spans="1:4" ht="15.75" x14ac:dyDescent="0.25">
      <c r="A232" s="35">
        <v>44061</v>
      </c>
      <c r="B232" s="60">
        <v>8</v>
      </c>
      <c r="C232" s="36" t="str">
        <f>IFERROR(
  IF(
    VLOOKUP($A232,祝日!$A:$C,2,FALSE)="",
    "",
    VLOOKUP($A232,祝日!$A:$C,2,FALSE)
  ),
  ""
)</f>
        <v/>
      </c>
      <c r="D232" s="36" t="str">
        <f>IFERROR(
  IF(
    VLOOKUP($A232,祝日!$A:$C,3,FALSE)="",
    "",
    VLOOKUP($A232,祝日!$A:$C,3,FALSE)
  ),
  ""
)</f>
        <v/>
      </c>
    </row>
    <row r="233" spans="1:4" ht="15.75" x14ac:dyDescent="0.25">
      <c r="A233" s="35">
        <v>44062</v>
      </c>
      <c r="B233" s="60">
        <v>8</v>
      </c>
      <c r="C233" s="36" t="str">
        <f>IFERROR(
  IF(
    VLOOKUP($A233,祝日!$A:$C,2,FALSE)="",
    "",
    VLOOKUP($A233,祝日!$A:$C,2,FALSE)
  ),
  ""
)</f>
        <v/>
      </c>
      <c r="D233" s="36" t="str">
        <f>IFERROR(
  IF(
    VLOOKUP($A233,祝日!$A:$C,3,FALSE)="",
    "",
    VLOOKUP($A233,祝日!$A:$C,3,FALSE)
  ),
  ""
)</f>
        <v/>
      </c>
    </row>
    <row r="234" spans="1:4" ht="15.75" x14ac:dyDescent="0.25">
      <c r="A234" s="35">
        <v>44063</v>
      </c>
      <c r="B234" s="60">
        <v>8</v>
      </c>
      <c r="C234" s="36" t="str">
        <f>IFERROR(
  IF(
    VLOOKUP($A234,祝日!$A:$C,2,FALSE)="",
    "",
    VLOOKUP($A234,祝日!$A:$C,2,FALSE)
  ),
  ""
)</f>
        <v/>
      </c>
      <c r="D234" s="36" t="str">
        <f>IFERROR(
  IF(
    VLOOKUP($A234,祝日!$A:$C,3,FALSE)="",
    "",
    VLOOKUP($A234,祝日!$A:$C,3,FALSE)
  ),
  ""
)</f>
        <v/>
      </c>
    </row>
    <row r="235" spans="1:4" ht="15.75" x14ac:dyDescent="0.25">
      <c r="A235" s="35">
        <v>44064</v>
      </c>
      <c r="B235" s="60">
        <v>8</v>
      </c>
      <c r="C235" s="36" t="str">
        <f>IFERROR(
  IF(
    VLOOKUP($A235,祝日!$A:$C,2,FALSE)="",
    "",
    VLOOKUP($A235,祝日!$A:$C,2,FALSE)
  ),
  ""
)</f>
        <v/>
      </c>
      <c r="D235" s="36" t="str">
        <f>IFERROR(
  IF(
    VLOOKUP($A235,祝日!$A:$C,3,FALSE)="",
    "",
    VLOOKUP($A235,祝日!$A:$C,3,FALSE)
  ),
  ""
)</f>
        <v/>
      </c>
    </row>
    <row r="236" spans="1:4" ht="15.75" x14ac:dyDescent="0.25">
      <c r="A236" s="35">
        <v>44065</v>
      </c>
      <c r="B236" s="60">
        <v>8</v>
      </c>
      <c r="C236" s="36" t="str">
        <f>IFERROR(
  IF(
    VLOOKUP($A236,祝日!$A:$C,2,FALSE)="",
    "",
    VLOOKUP($A236,祝日!$A:$C,2,FALSE)
  ),
  ""
)</f>
        <v/>
      </c>
      <c r="D236" s="36" t="str">
        <f>IFERROR(
  IF(
    VLOOKUP($A236,祝日!$A:$C,3,FALSE)="",
    "",
    VLOOKUP($A236,祝日!$A:$C,3,FALSE)
  ),
  ""
)</f>
        <v/>
      </c>
    </row>
    <row r="237" spans="1:4" ht="15.75" x14ac:dyDescent="0.25">
      <c r="A237" s="35">
        <v>44066</v>
      </c>
      <c r="B237" s="60">
        <v>8</v>
      </c>
      <c r="C237" s="36" t="str">
        <f>IFERROR(
  IF(
    VLOOKUP($A237,祝日!$A:$C,2,FALSE)="",
    "",
    VLOOKUP($A237,祝日!$A:$C,2,FALSE)
  ),
  ""
)</f>
        <v/>
      </c>
      <c r="D237" s="36" t="str">
        <f>IFERROR(
  IF(
    VLOOKUP($A237,祝日!$A:$C,3,FALSE)="",
    "",
    VLOOKUP($A237,祝日!$A:$C,3,FALSE)
  ),
  ""
)</f>
        <v/>
      </c>
    </row>
    <row r="238" spans="1:4" ht="15.75" x14ac:dyDescent="0.25">
      <c r="A238" s="35">
        <v>44067</v>
      </c>
      <c r="B238" s="60">
        <v>8</v>
      </c>
      <c r="C238" s="36" t="str">
        <f>IFERROR(
  IF(
    VLOOKUP($A238,祝日!$A:$C,2,FALSE)="",
    "",
    VLOOKUP($A238,祝日!$A:$C,2,FALSE)
  ),
  ""
)</f>
        <v/>
      </c>
      <c r="D238" s="36" t="str">
        <f>IFERROR(
  IF(
    VLOOKUP($A238,祝日!$A:$C,3,FALSE)="",
    "",
    VLOOKUP($A238,祝日!$A:$C,3,FALSE)
  ),
  ""
)</f>
        <v/>
      </c>
    </row>
    <row r="239" spans="1:4" ht="15.75" x14ac:dyDescent="0.25">
      <c r="A239" s="35">
        <v>44068</v>
      </c>
      <c r="B239" s="60">
        <v>8</v>
      </c>
      <c r="C239" s="36" t="str">
        <f>IFERROR(
  IF(
    VLOOKUP($A239,祝日!$A:$C,2,FALSE)="",
    "",
    VLOOKUP($A239,祝日!$A:$C,2,FALSE)
  ),
  ""
)</f>
        <v/>
      </c>
      <c r="D239" s="36" t="str">
        <f>IFERROR(
  IF(
    VLOOKUP($A239,祝日!$A:$C,3,FALSE)="",
    "",
    VLOOKUP($A239,祝日!$A:$C,3,FALSE)
  ),
  ""
)</f>
        <v/>
      </c>
    </row>
    <row r="240" spans="1:4" ht="15.75" x14ac:dyDescent="0.25">
      <c r="A240" s="35">
        <v>44069</v>
      </c>
      <c r="B240" s="60">
        <v>8</v>
      </c>
      <c r="C240" s="36" t="str">
        <f>IFERROR(
  IF(
    VLOOKUP($A240,祝日!$A:$C,2,FALSE)="",
    "",
    VLOOKUP($A240,祝日!$A:$C,2,FALSE)
  ),
  ""
)</f>
        <v/>
      </c>
      <c r="D240" s="36" t="str">
        <f>IFERROR(
  IF(
    VLOOKUP($A240,祝日!$A:$C,3,FALSE)="",
    "",
    VLOOKUP($A240,祝日!$A:$C,3,FALSE)
  ),
  ""
)</f>
        <v/>
      </c>
    </row>
    <row r="241" spans="1:4" ht="15.75" x14ac:dyDescent="0.25">
      <c r="A241" s="35">
        <v>44070</v>
      </c>
      <c r="B241" s="60">
        <v>8</v>
      </c>
      <c r="C241" s="36" t="str">
        <f>IFERROR(
  IF(
    VLOOKUP($A241,祝日!$A:$C,2,FALSE)="",
    "",
    VLOOKUP($A241,祝日!$A:$C,2,FALSE)
  ),
  ""
)</f>
        <v/>
      </c>
      <c r="D241" s="36" t="str">
        <f>IFERROR(
  IF(
    VLOOKUP($A241,祝日!$A:$C,3,FALSE)="",
    "",
    VLOOKUP($A241,祝日!$A:$C,3,FALSE)
  ),
  ""
)</f>
        <v/>
      </c>
    </row>
    <row r="242" spans="1:4" ht="15.75" x14ac:dyDescent="0.25">
      <c r="A242" s="35">
        <v>44071</v>
      </c>
      <c r="B242" s="60">
        <v>8</v>
      </c>
      <c r="C242" s="36" t="str">
        <f>IFERROR(
  IF(
    VLOOKUP($A242,祝日!$A:$C,2,FALSE)="",
    "",
    VLOOKUP($A242,祝日!$A:$C,2,FALSE)
  ),
  ""
)</f>
        <v/>
      </c>
      <c r="D242" s="36" t="str">
        <f>IFERROR(
  IF(
    VLOOKUP($A242,祝日!$A:$C,3,FALSE)="",
    "",
    VLOOKUP($A242,祝日!$A:$C,3,FALSE)
  ),
  ""
)</f>
        <v/>
      </c>
    </row>
    <row r="243" spans="1:4" ht="15.75" x14ac:dyDescent="0.25">
      <c r="A243" s="35">
        <v>44072</v>
      </c>
      <c r="B243" s="60">
        <v>8</v>
      </c>
      <c r="C243" s="36" t="str">
        <f>IFERROR(
  IF(
    VLOOKUP($A243,祝日!$A:$C,2,FALSE)="",
    "",
    VLOOKUP($A243,祝日!$A:$C,2,FALSE)
  ),
  ""
)</f>
        <v/>
      </c>
      <c r="D243" s="36" t="str">
        <f>IFERROR(
  IF(
    VLOOKUP($A243,祝日!$A:$C,3,FALSE)="",
    "",
    VLOOKUP($A243,祝日!$A:$C,3,FALSE)
  ),
  ""
)</f>
        <v/>
      </c>
    </row>
    <row r="244" spans="1:4" ht="15.75" x14ac:dyDescent="0.25">
      <c r="A244" s="35">
        <v>44073</v>
      </c>
      <c r="B244" s="60">
        <v>8</v>
      </c>
      <c r="C244" s="36" t="str">
        <f>IFERROR(
  IF(
    VLOOKUP($A244,祝日!$A:$C,2,FALSE)="",
    "",
    VLOOKUP($A244,祝日!$A:$C,2,FALSE)
  ),
  ""
)</f>
        <v/>
      </c>
      <c r="D244" s="36" t="str">
        <f>IFERROR(
  IF(
    VLOOKUP($A244,祝日!$A:$C,3,FALSE)="",
    "",
    VLOOKUP($A244,祝日!$A:$C,3,FALSE)
  ),
  ""
)</f>
        <v/>
      </c>
    </row>
    <row r="245" spans="1:4" ht="15.75" x14ac:dyDescent="0.25">
      <c r="A245" s="35">
        <v>44074</v>
      </c>
      <c r="B245" s="60">
        <v>8</v>
      </c>
      <c r="C245" s="36" t="str">
        <f>IFERROR(
  IF(
    VLOOKUP($A245,祝日!$A:$C,2,FALSE)="",
    "",
    VLOOKUP($A245,祝日!$A:$C,2,FALSE)
  ),
  ""
)</f>
        <v/>
      </c>
      <c r="D245" s="36" t="str">
        <f>IFERROR(
  IF(
    VLOOKUP($A245,祝日!$A:$C,3,FALSE)="",
    "",
    VLOOKUP($A245,祝日!$A:$C,3,FALSE)
  ),
  ""
)</f>
        <v/>
      </c>
    </row>
    <row r="246" spans="1:4" ht="15.75" x14ac:dyDescent="0.25">
      <c r="A246" s="35">
        <v>44075</v>
      </c>
      <c r="B246" s="60">
        <v>8</v>
      </c>
      <c r="C246" s="36" t="str">
        <f>IFERROR(
  IF(
    VLOOKUP($A246,祝日!$A:$C,2,FALSE)="",
    "",
    VLOOKUP($A246,祝日!$A:$C,2,FALSE)
  ),
  ""
)</f>
        <v/>
      </c>
      <c r="D246" s="36" t="str">
        <f>IFERROR(
  IF(
    VLOOKUP($A246,祝日!$A:$C,3,FALSE)="",
    "",
    VLOOKUP($A246,祝日!$A:$C,3,FALSE)
  ),
  ""
)</f>
        <v/>
      </c>
    </row>
    <row r="247" spans="1:4" ht="15.75" x14ac:dyDescent="0.25">
      <c r="A247" s="35">
        <v>44076</v>
      </c>
      <c r="B247" s="60">
        <v>8</v>
      </c>
      <c r="C247" s="36" t="str">
        <f>IFERROR(
  IF(
    VLOOKUP($A247,祝日!$A:$C,2,FALSE)="",
    "",
    VLOOKUP($A247,祝日!$A:$C,2,FALSE)
  ),
  ""
)</f>
        <v/>
      </c>
      <c r="D247" s="36" t="str">
        <f>IFERROR(
  IF(
    VLOOKUP($A247,祝日!$A:$C,3,FALSE)="",
    "",
    VLOOKUP($A247,祝日!$A:$C,3,FALSE)
  ),
  ""
)</f>
        <v/>
      </c>
    </row>
    <row r="248" spans="1:4" ht="15.75" x14ac:dyDescent="0.25">
      <c r="A248" s="35">
        <v>44077</v>
      </c>
      <c r="B248" s="60">
        <v>8</v>
      </c>
      <c r="C248" s="36" t="str">
        <f>IFERROR(
  IF(
    VLOOKUP($A248,祝日!$A:$C,2,FALSE)="",
    "",
    VLOOKUP($A248,祝日!$A:$C,2,FALSE)
  ),
  ""
)</f>
        <v/>
      </c>
      <c r="D248" s="36" t="str">
        <f>IFERROR(
  IF(
    VLOOKUP($A248,祝日!$A:$C,3,FALSE)="",
    "",
    VLOOKUP($A248,祝日!$A:$C,3,FALSE)
  ),
  ""
)</f>
        <v/>
      </c>
    </row>
    <row r="249" spans="1:4" ht="15.75" x14ac:dyDescent="0.25">
      <c r="A249" s="35">
        <v>44078</v>
      </c>
      <c r="B249" s="60">
        <v>8</v>
      </c>
      <c r="C249" s="36" t="str">
        <f>IFERROR(
  IF(
    VLOOKUP($A249,祝日!$A:$C,2,FALSE)="",
    "",
    VLOOKUP($A249,祝日!$A:$C,2,FALSE)
  ),
  ""
)</f>
        <v/>
      </c>
      <c r="D249" s="36" t="str">
        <f>IFERROR(
  IF(
    VLOOKUP($A249,祝日!$A:$C,3,FALSE)="",
    "",
    VLOOKUP($A249,祝日!$A:$C,3,FALSE)
  ),
  ""
)</f>
        <v/>
      </c>
    </row>
    <row r="250" spans="1:4" ht="15.75" x14ac:dyDescent="0.25">
      <c r="A250" s="35">
        <v>44079</v>
      </c>
      <c r="B250" s="60">
        <v>8</v>
      </c>
      <c r="C250" s="36" t="str">
        <f>IFERROR(
  IF(
    VLOOKUP($A250,祝日!$A:$C,2,FALSE)="",
    "",
    VLOOKUP($A250,祝日!$A:$C,2,FALSE)
  ),
  ""
)</f>
        <v/>
      </c>
      <c r="D250" s="36" t="str">
        <f>IFERROR(
  IF(
    VLOOKUP($A250,祝日!$A:$C,3,FALSE)="",
    "",
    VLOOKUP($A250,祝日!$A:$C,3,FALSE)
  ),
  ""
)</f>
        <v/>
      </c>
    </row>
    <row r="251" spans="1:4" ht="15.75" x14ac:dyDescent="0.25">
      <c r="A251" s="35">
        <v>44080</v>
      </c>
      <c r="B251" s="60">
        <v>8</v>
      </c>
      <c r="C251" s="36" t="str">
        <f>IFERROR(
  IF(
    VLOOKUP($A251,祝日!$A:$C,2,FALSE)="",
    "",
    VLOOKUP($A251,祝日!$A:$C,2,FALSE)
  ),
  ""
)</f>
        <v/>
      </c>
      <c r="D251" s="36" t="str">
        <f>IFERROR(
  IF(
    VLOOKUP($A251,祝日!$A:$C,3,FALSE)="",
    "",
    VLOOKUP($A251,祝日!$A:$C,3,FALSE)
  ),
  ""
)</f>
        <v/>
      </c>
    </row>
    <row r="252" spans="1:4" ht="15.75" x14ac:dyDescent="0.25">
      <c r="A252" s="35">
        <v>44081</v>
      </c>
      <c r="B252" s="60">
        <v>8</v>
      </c>
      <c r="C252" s="36" t="str">
        <f>IFERROR(
  IF(
    VLOOKUP($A252,祝日!$A:$C,2,FALSE)="",
    "",
    VLOOKUP($A252,祝日!$A:$C,2,FALSE)
  ),
  ""
)</f>
        <v/>
      </c>
      <c r="D252" s="36" t="str">
        <f>IFERROR(
  IF(
    VLOOKUP($A252,祝日!$A:$C,3,FALSE)="",
    "",
    VLOOKUP($A252,祝日!$A:$C,3,FALSE)
  ),
  ""
)</f>
        <v/>
      </c>
    </row>
    <row r="253" spans="1:4" ht="15.75" x14ac:dyDescent="0.25">
      <c r="A253" s="35">
        <v>44082</v>
      </c>
      <c r="B253" s="60">
        <v>8</v>
      </c>
      <c r="C253" s="36" t="str">
        <f>IFERROR(
  IF(
    VLOOKUP($A253,祝日!$A:$C,2,FALSE)="",
    "",
    VLOOKUP($A253,祝日!$A:$C,2,FALSE)
  ),
  ""
)</f>
        <v/>
      </c>
      <c r="D253" s="36" t="str">
        <f>IFERROR(
  IF(
    VLOOKUP($A253,祝日!$A:$C,3,FALSE)="",
    "",
    VLOOKUP($A253,祝日!$A:$C,3,FALSE)
  ),
  ""
)</f>
        <v/>
      </c>
    </row>
    <row r="254" spans="1:4" ht="15.75" x14ac:dyDescent="0.25">
      <c r="A254" s="35">
        <v>44083</v>
      </c>
      <c r="B254" s="60">
        <v>8</v>
      </c>
      <c r="C254" s="36" t="str">
        <f>IFERROR(
  IF(
    VLOOKUP($A254,祝日!$A:$C,2,FALSE)="",
    "",
    VLOOKUP($A254,祝日!$A:$C,2,FALSE)
  ),
  ""
)</f>
        <v/>
      </c>
      <c r="D254" s="36" t="str">
        <f>IFERROR(
  IF(
    VLOOKUP($A254,祝日!$A:$C,3,FALSE)="",
    "",
    VLOOKUP($A254,祝日!$A:$C,3,FALSE)
  ),
  ""
)</f>
        <v/>
      </c>
    </row>
    <row r="255" spans="1:4" ht="15.75" x14ac:dyDescent="0.25">
      <c r="A255" s="35">
        <v>44084</v>
      </c>
      <c r="B255" s="60">
        <v>8</v>
      </c>
      <c r="C255" s="36" t="str">
        <f>IFERROR(
  IF(
    VLOOKUP($A255,祝日!$A:$C,2,FALSE)="",
    "",
    VLOOKUP($A255,祝日!$A:$C,2,FALSE)
  ),
  ""
)</f>
        <v/>
      </c>
      <c r="D255" s="36" t="str">
        <f>IFERROR(
  IF(
    VLOOKUP($A255,祝日!$A:$C,3,FALSE)="",
    "",
    VLOOKUP($A255,祝日!$A:$C,3,FALSE)
  ),
  ""
)</f>
        <v/>
      </c>
    </row>
    <row r="256" spans="1:4" ht="15.75" x14ac:dyDescent="0.25">
      <c r="A256" s="35">
        <v>44085</v>
      </c>
      <c r="B256" s="60">
        <v>8</v>
      </c>
      <c r="C256" s="36" t="str">
        <f>IFERROR(
  IF(
    VLOOKUP($A256,祝日!$A:$C,2,FALSE)="",
    "",
    VLOOKUP($A256,祝日!$A:$C,2,FALSE)
  ),
  ""
)</f>
        <v/>
      </c>
      <c r="D256" s="36" t="str">
        <f>IFERROR(
  IF(
    VLOOKUP($A256,祝日!$A:$C,3,FALSE)="",
    "",
    VLOOKUP($A256,祝日!$A:$C,3,FALSE)
  ),
  ""
)</f>
        <v/>
      </c>
    </row>
    <row r="257" spans="1:4" ht="15.75" x14ac:dyDescent="0.25">
      <c r="A257" s="35">
        <v>44086</v>
      </c>
      <c r="B257" s="60">
        <v>8</v>
      </c>
      <c r="C257" s="36" t="str">
        <f>IFERROR(
  IF(
    VLOOKUP($A257,祝日!$A:$C,2,FALSE)="",
    "",
    VLOOKUP($A257,祝日!$A:$C,2,FALSE)
  ),
  ""
)</f>
        <v/>
      </c>
      <c r="D257" s="36" t="str">
        <f>IFERROR(
  IF(
    VLOOKUP($A257,祝日!$A:$C,3,FALSE)="",
    "",
    VLOOKUP($A257,祝日!$A:$C,3,FALSE)
  ),
  ""
)</f>
        <v/>
      </c>
    </row>
    <row r="258" spans="1:4" ht="15.75" x14ac:dyDescent="0.25">
      <c r="A258" s="35">
        <v>44087</v>
      </c>
      <c r="B258" s="60">
        <v>8</v>
      </c>
      <c r="C258" s="36" t="str">
        <f>IFERROR(
  IF(
    VLOOKUP($A258,祝日!$A:$C,2,FALSE)="",
    "",
    VLOOKUP($A258,祝日!$A:$C,2,FALSE)
  ),
  ""
)</f>
        <v/>
      </c>
      <c r="D258" s="36" t="str">
        <f>IFERROR(
  IF(
    VLOOKUP($A258,祝日!$A:$C,3,FALSE)="",
    "",
    VLOOKUP($A258,祝日!$A:$C,3,FALSE)
  ),
  ""
)</f>
        <v/>
      </c>
    </row>
    <row r="259" spans="1:4" ht="15.75" x14ac:dyDescent="0.25">
      <c r="A259" s="35">
        <v>44088</v>
      </c>
      <c r="B259" s="60">
        <v>8</v>
      </c>
      <c r="C259" s="36" t="str">
        <f>IFERROR(
  IF(
    VLOOKUP($A259,祝日!$A:$C,2,FALSE)="",
    "",
    VLOOKUP($A259,祝日!$A:$C,2,FALSE)
  ),
  ""
)</f>
        <v/>
      </c>
      <c r="D259" s="36" t="str">
        <f>IFERROR(
  IF(
    VLOOKUP($A259,祝日!$A:$C,3,FALSE)="",
    "",
    VLOOKUP($A259,祝日!$A:$C,3,FALSE)
  ),
  ""
)</f>
        <v/>
      </c>
    </row>
    <row r="260" spans="1:4" ht="15.75" x14ac:dyDescent="0.25">
      <c r="A260" s="35">
        <v>44089</v>
      </c>
      <c r="B260" s="60">
        <v>8</v>
      </c>
      <c r="C260" s="36" t="str">
        <f>IFERROR(
  IF(
    VLOOKUP($A260,祝日!$A:$C,2,FALSE)="",
    "",
    VLOOKUP($A260,祝日!$A:$C,2,FALSE)
  ),
  ""
)</f>
        <v/>
      </c>
      <c r="D260" s="36" t="str">
        <f>IFERROR(
  IF(
    VLOOKUP($A260,祝日!$A:$C,3,FALSE)="",
    "",
    VLOOKUP($A260,祝日!$A:$C,3,FALSE)
  ),
  ""
)</f>
        <v/>
      </c>
    </row>
    <row r="261" spans="1:4" ht="15.75" x14ac:dyDescent="0.25">
      <c r="A261" s="35">
        <v>44090</v>
      </c>
      <c r="B261" s="60">
        <v>8</v>
      </c>
      <c r="C261" s="36" t="str">
        <f>IFERROR(
  IF(
    VLOOKUP($A261,祝日!$A:$C,2,FALSE)="",
    "",
    VLOOKUP($A261,祝日!$A:$C,2,FALSE)
  ),
  ""
)</f>
        <v/>
      </c>
      <c r="D261" s="36" t="str">
        <f>IFERROR(
  IF(
    VLOOKUP($A261,祝日!$A:$C,3,FALSE)="",
    "",
    VLOOKUP($A261,祝日!$A:$C,3,FALSE)
  ),
  ""
)</f>
        <v/>
      </c>
    </row>
    <row r="262" spans="1:4" ht="15.75" x14ac:dyDescent="0.25">
      <c r="A262" s="35">
        <v>44091</v>
      </c>
      <c r="B262" s="60">
        <v>8</v>
      </c>
      <c r="C262" s="36" t="str">
        <f>IFERROR(
  IF(
    VLOOKUP($A262,祝日!$A:$C,2,FALSE)="",
    "",
    VLOOKUP($A262,祝日!$A:$C,2,FALSE)
  ),
  ""
)</f>
        <v/>
      </c>
      <c r="D262" s="36" t="str">
        <f>IFERROR(
  IF(
    VLOOKUP($A262,祝日!$A:$C,3,FALSE)="",
    "",
    VLOOKUP($A262,祝日!$A:$C,3,FALSE)
  ),
  ""
)</f>
        <v/>
      </c>
    </row>
    <row r="263" spans="1:4" ht="15.75" x14ac:dyDescent="0.25">
      <c r="A263" s="35">
        <v>44092</v>
      </c>
      <c r="B263" s="60">
        <v>8</v>
      </c>
      <c r="C263" s="36" t="str">
        <f>IFERROR(
  IF(
    VLOOKUP($A263,祝日!$A:$C,2,FALSE)="",
    "",
    VLOOKUP($A263,祝日!$A:$C,2,FALSE)
  ),
  ""
)</f>
        <v/>
      </c>
      <c r="D263" s="36" t="str">
        <f>IFERROR(
  IF(
    VLOOKUP($A263,祝日!$A:$C,3,FALSE)="",
    "",
    VLOOKUP($A263,祝日!$A:$C,3,FALSE)
  ),
  ""
)</f>
        <v/>
      </c>
    </row>
    <row r="264" spans="1:4" ht="15.75" x14ac:dyDescent="0.25">
      <c r="A264" s="35">
        <v>44093</v>
      </c>
      <c r="B264" s="60">
        <v>8</v>
      </c>
      <c r="C264" s="36" t="str">
        <f>IFERROR(
  IF(
    VLOOKUP($A264,祝日!$A:$C,2,FALSE)="",
    "",
    VLOOKUP($A264,祝日!$A:$C,2,FALSE)
  ),
  ""
)</f>
        <v/>
      </c>
      <c r="D264" s="36" t="str">
        <f>IFERROR(
  IF(
    VLOOKUP($A264,祝日!$A:$C,3,FALSE)="",
    "",
    VLOOKUP($A264,祝日!$A:$C,3,FALSE)
  ),
  ""
)</f>
        <v/>
      </c>
    </row>
    <row r="265" spans="1:4" ht="15.75" x14ac:dyDescent="0.25">
      <c r="A265" s="35">
        <v>44094</v>
      </c>
      <c r="B265" s="60">
        <v>8</v>
      </c>
      <c r="C265" s="36" t="str">
        <f>IFERROR(
  IF(
    VLOOKUP($A265,祝日!$A:$C,2,FALSE)="",
    "",
    VLOOKUP($A265,祝日!$A:$C,2,FALSE)
  ),
  ""
)</f>
        <v/>
      </c>
      <c r="D265" s="36" t="str">
        <f>IFERROR(
  IF(
    VLOOKUP($A265,祝日!$A:$C,3,FALSE)="",
    "",
    VLOOKUP($A265,祝日!$A:$C,3,FALSE)
  ),
  ""
)</f>
        <v/>
      </c>
    </row>
    <row r="266" spans="1:4" ht="15.75" x14ac:dyDescent="0.25">
      <c r="A266" s="35">
        <v>44095</v>
      </c>
      <c r="B266" s="60">
        <v>8</v>
      </c>
      <c r="C266" s="36" t="str">
        <f>IFERROR(
  IF(
    VLOOKUP($A266,祝日!$A:$C,2,FALSE)="",
    "",
    VLOOKUP($A266,祝日!$A:$C,2,FALSE)
  ),
  ""
)</f>
        <v xml:space="preserve">敬老の日 </v>
      </c>
      <c r="D266" s="36" t="str">
        <f>IFERROR(
  IF(
    VLOOKUP($A266,祝日!$A:$C,3,FALSE)="",
    "",
    VLOOKUP($A266,祝日!$A:$C,3,FALSE)
  ),
  ""
)</f>
        <v>9月第3月曜日</v>
      </c>
    </row>
    <row r="267" spans="1:4" ht="15.75" x14ac:dyDescent="0.25">
      <c r="A267" s="35">
        <v>44096</v>
      </c>
      <c r="B267" s="60">
        <v>8</v>
      </c>
      <c r="C267" s="36" t="str">
        <f>IFERROR(
  IF(
    VLOOKUP($A267,祝日!$A:$C,2,FALSE)="",
    "",
    VLOOKUP($A267,祝日!$A:$C,2,FALSE)
  ),
  ""
)</f>
        <v xml:space="preserve">秋分の日 </v>
      </c>
      <c r="D267" s="36" t="str">
        <f>IFERROR(
  IF(
    VLOOKUP($A267,祝日!$A:$C,3,FALSE)="",
    "",
    VLOOKUP($A267,祝日!$A:$C,3,FALSE)
  ),
  ""
)</f>
        <v/>
      </c>
    </row>
    <row r="268" spans="1:4" ht="15.75" x14ac:dyDescent="0.25">
      <c r="A268" s="35">
        <v>44097</v>
      </c>
      <c r="B268" s="60">
        <v>8</v>
      </c>
      <c r="C268" s="36" t="str">
        <f>IFERROR(
  IF(
    VLOOKUP($A268,祝日!$A:$C,2,FALSE)="",
    "",
    VLOOKUP($A268,祝日!$A:$C,2,FALSE)
  ),
  ""
)</f>
        <v/>
      </c>
      <c r="D268" s="36" t="str">
        <f>IFERROR(
  IF(
    VLOOKUP($A268,祝日!$A:$C,3,FALSE)="",
    "",
    VLOOKUP($A268,祝日!$A:$C,3,FALSE)
  ),
  ""
)</f>
        <v/>
      </c>
    </row>
    <row r="269" spans="1:4" ht="15.75" x14ac:dyDescent="0.25">
      <c r="A269" s="35">
        <v>44098</v>
      </c>
      <c r="B269" s="60">
        <v>8</v>
      </c>
      <c r="C269" s="36" t="str">
        <f>IFERROR(
  IF(
    VLOOKUP($A269,祝日!$A:$C,2,FALSE)="",
    "",
    VLOOKUP($A269,祝日!$A:$C,2,FALSE)
  ),
  ""
)</f>
        <v/>
      </c>
      <c r="D269" s="36" t="str">
        <f>IFERROR(
  IF(
    VLOOKUP($A269,祝日!$A:$C,3,FALSE)="",
    "",
    VLOOKUP($A269,祝日!$A:$C,3,FALSE)
  ),
  ""
)</f>
        <v/>
      </c>
    </row>
    <row r="270" spans="1:4" ht="15.75" x14ac:dyDescent="0.25">
      <c r="A270" s="35">
        <v>44099</v>
      </c>
      <c r="B270" s="60">
        <v>8</v>
      </c>
      <c r="C270" s="36" t="str">
        <f>IFERROR(
  IF(
    VLOOKUP($A270,祝日!$A:$C,2,FALSE)="",
    "",
    VLOOKUP($A270,祝日!$A:$C,2,FALSE)
  ),
  ""
)</f>
        <v/>
      </c>
      <c r="D270" s="36" t="str">
        <f>IFERROR(
  IF(
    VLOOKUP($A270,祝日!$A:$C,3,FALSE)="",
    "",
    VLOOKUP($A270,祝日!$A:$C,3,FALSE)
  ),
  ""
)</f>
        <v/>
      </c>
    </row>
    <row r="271" spans="1:4" ht="15.75" x14ac:dyDescent="0.25">
      <c r="A271" s="35">
        <v>44100</v>
      </c>
      <c r="B271" s="60">
        <v>8</v>
      </c>
      <c r="C271" s="36" t="str">
        <f>IFERROR(
  IF(
    VLOOKUP($A271,祝日!$A:$C,2,FALSE)="",
    "",
    VLOOKUP($A271,祝日!$A:$C,2,FALSE)
  ),
  ""
)</f>
        <v/>
      </c>
      <c r="D271" s="36" t="str">
        <f>IFERROR(
  IF(
    VLOOKUP($A271,祝日!$A:$C,3,FALSE)="",
    "",
    VLOOKUP($A271,祝日!$A:$C,3,FALSE)
  ),
  ""
)</f>
        <v/>
      </c>
    </row>
    <row r="272" spans="1:4" ht="15.75" x14ac:dyDescent="0.25">
      <c r="A272" s="35">
        <v>44101</v>
      </c>
      <c r="B272" s="60">
        <v>8</v>
      </c>
      <c r="C272" s="36" t="str">
        <f>IFERROR(
  IF(
    VLOOKUP($A272,祝日!$A:$C,2,FALSE)="",
    "",
    VLOOKUP($A272,祝日!$A:$C,2,FALSE)
  ),
  ""
)</f>
        <v/>
      </c>
      <c r="D272" s="36" t="str">
        <f>IFERROR(
  IF(
    VLOOKUP($A272,祝日!$A:$C,3,FALSE)="",
    "",
    VLOOKUP($A272,祝日!$A:$C,3,FALSE)
  ),
  ""
)</f>
        <v/>
      </c>
    </row>
    <row r="273" spans="1:4" ht="15.75" x14ac:dyDescent="0.25">
      <c r="A273" s="35">
        <v>44102</v>
      </c>
      <c r="B273" s="60">
        <v>8</v>
      </c>
      <c r="C273" s="36" t="str">
        <f>IFERROR(
  IF(
    VLOOKUP($A273,祝日!$A:$C,2,FALSE)="",
    "",
    VLOOKUP($A273,祝日!$A:$C,2,FALSE)
  ),
  ""
)</f>
        <v/>
      </c>
      <c r="D273" s="36" t="str">
        <f>IFERROR(
  IF(
    VLOOKUP($A273,祝日!$A:$C,3,FALSE)="",
    "",
    VLOOKUP($A273,祝日!$A:$C,3,FALSE)
  ),
  ""
)</f>
        <v/>
      </c>
    </row>
    <row r="274" spans="1:4" ht="15.75" x14ac:dyDescent="0.25">
      <c r="A274" s="35">
        <v>44103</v>
      </c>
      <c r="B274" s="60">
        <v>8</v>
      </c>
      <c r="C274" s="36" t="str">
        <f>IFERROR(
  IF(
    VLOOKUP($A274,祝日!$A:$C,2,FALSE)="",
    "",
    VLOOKUP($A274,祝日!$A:$C,2,FALSE)
  ),
  ""
)</f>
        <v/>
      </c>
      <c r="D274" s="36" t="str">
        <f>IFERROR(
  IF(
    VLOOKUP($A274,祝日!$A:$C,3,FALSE)="",
    "",
    VLOOKUP($A274,祝日!$A:$C,3,FALSE)
  ),
  ""
)</f>
        <v/>
      </c>
    </row>
    <row r="275" spans="1:4" ht="15.75" x14ac:dyDescent="0.25">
      <c r="A275" s="35">
        <v>44104</v>
      </c>
      <c r="B275" s="60">
        <v>8</v>
      </c>
      <c r="C275" s="36" t="str">
        <f>IFERROR(
  IF(
    VLOOKUP($A275,祝日!$A:$C,2,FALSE)="",
    "",
    VLOOKUP($A275,祝日!$A:$C,2,FALSE)
  ),
  ""
)</f>
        <v/>
      </c>
      <c r="D275" s="36" t="str">
        <f>IFERROR(
  IF(
    VLOOKUP($A275,祝日!$A:$C,3,FALSE)="",
    "",
    VLOOKUP($A275,祝日!$A:$C,3,FALSE)
  ),
  ""
)</f>
        <v/>
      </c>
    </row>
    <row r="276" spans="1:4" ht="15.75" x14ac:dyDescent="0.25">
      <c r="A276" s="35">
        <v>44105</v>
      </c>
      <c r="B276" s="60">
        <v>8</v>
      </c>
      <c r="C276" s="36" t="str">
        <f>IFERROR(
  IF(
    VLOOKUP($A276,祝日!$A:$C,2,FALSE)="",
    "",
    VLOOKUP($A276,祝日!$A:$C,2,FALSE)
  ),
  ""
)</f>
        <v/>
      </c>
      <c r="D276" s="36" t="str">
        <f>IFERROR(
  IF(
    VLOOKUP($A276,祝日!$A:$C,3,FALSE)="",
    "",
    VLOOKUP($A276,祝日!$A:$C,3,FALSE)
  ),
  ""
)</f>
        <v/>
      </c>
    </row>
    <row r="277" spans="1:4" ht="15.75" x14ac:dyDescent="0.25">
      <c r="A277" s="35">
        <v>44106</v>
      </c>
      <c r="B277" s="60">
        <v>8</v>
      </c>
      <c r="C277" s="36" t="str">
        <f>IFERROR(
  IF(
    VLOOKUP($A277,祝日!$A:$C,2,FALSE)="",
    "",
    VLOOKUP($A277,祝日!$A:$C,2,FALSE)
  ),
  ""
)</f>
        <v/>
      </c>
      <c r="D277" s="36" t="str">
        <f>IFERROR(
  IF(
    VLOOKUP($A277,祝日!$A:$C,3,FALSE)="",
    "",
    VLOOKUP($A277,祝日!$A:$C,3,FALSE)
  ),
  ""
)</f>
        <v/>
      </c>
    </row>
    <row r="278" spans="1:4" ht="15.75" x14ac:dyDescent="0.25">
      <c r="A278" s="35">
        <v>44107</v>
      </c>
      <c r="B278" s="60">
        <v>8</v>
      </c>
      <c r="C278" s="36" t="str">
        <f>IFERROR(
  IF(
    VLOOKUP($A278,祝日!$A:$C,2,FALSE)="",
    "",
    VLOOKUP($A278,祝日!$A:$C,2,FALSE)
  ),
  ""
)</f>
        <v/>
      </c>
      <c r="D278" s="36" t="str">
        <f>IFERROR(
  IF(
    VLOOKUP($A278,祝日!$A:$C,3,FALSE)="",
    "",
    VLOOKUP($A278,祝日!$A:$C,3,FALSE)
  ),
  ""
)</f>
        <v/>
      </c>
    </row>
    <row r="279" spans="1:4" ht="15.75" x14ac:dyDescent="0.25">
      <c r="A279" s="35">
        <v>44108</v>
      </c>
      <c r="B279" s="60">
        <v>8</v>
      </c>
      <c r="C279" s="36" t="str">
        <f>IFERROR(
  IF(
    VLOOKUP($A279,祝日!$A:$C,2,FALSE)="",
    "",
    VLOOKUP($A279,祝日!$A:$C,2,FALSE)
  ),
  ""
)</f>
        <v/>
      </c>
      <c r="D279" s="36" t="str">
        <f>IFERROR(
  IF(
    VLOOKUP($A279,祝日!$A:$C,3,FALSE)="",
    "",
    VLOOKUP($A279,祝日!$A:$C,3,FALSE)
  ),
  ""
)</f>
        <v/>
      </c>
    </row>
    <row r="280" spans="1:4" ht="15.75" x14ac:dyDescent="0.25">
      <c r="A280" s="35">
        <v>44109</v>
      </c>
      <c r="B280" s="60">
        <v>8</v>
      </c>
      <c r="C280" s="36" t="str">
        <f>IFERROR(
  IF(
    VLOOKUP($A280,祝日!$A:$C,2,FALSE)="",
    "",
    VLOOKUP($A280,祝日!$A:$C,2,FALSE)
  ),
  ""
)</f>
        <v/>
      </c>
      <c r="D280" s="36" t="str">
        <f>IFERROR(
  IF(
    VLOOKUP($A280,祝日!$A:$C,3,FALSE)="",
    "",
    VLOOKUP($A280,祝日!$A:$C,3,FALSE)
  ),
  ""
)</f>
        <v/>
      </c>
    </row>
    <row r="281" spans="1:4" ht="15.75" x14ac:dyDescent="0.25">
      <c r="A281" s="35">
        <v>44110</v>
      </c>
      <c r="B281" s="60">
        <v>8</v>
      </c>
      <c r="C281" s="36" t="str">
        <f>IFERROR(
  IF(
    VLOOKUP($A281,祝日!$A:$C,2,FALSE)="",
    "",
    VLOOKUP($A281,祝日!$A:$C,2,FALSE)
  ),
  ""
)</f>
        <v/>
      </c>
      <c r="D281" s="36" t="str">
        <f>IFERROR(
  IF(
    VLOOKUP($A281,祝日!$A:$C,3,FALSE)="",
    "",
    VLOOKUP($A281,祝日!$A:$C,3,FALSE)
  ),
  ""
)</f>
        <v/>
      </c>
    </row>
    <row r="282" spans="1:4" ht="15.75" x14ac:dyDescent="0.25">
      <c r="A282" s="35">
        <v>44111</v>
      </c>
      <c r="B282" s="60">
        <v>8</v>
      </c>
      <c r="C282" s="36" t="str">
        <f>IFERROR(
  IF(
    VLOOKUP($A282,祝日!$A:$C,2,FALSE)="",
    "",
    VLOOKUP($A282,祝日!$A:$C,2,FALSE)
  ),
  ""
)</f>
        <v/>
      </c>
      <c r="D282" s="36" t="str">
        <f>IFERROR(
  IF(
    VLOOKUP($A282,祝日!$A:$C,3,FALSE)="",
    "",
    VLOOKUP($A282,祝日!$A:$C,3,FALSE)
  ),
  ""
)</f>
        <v/>
      </c>
    </row>
    <row r="283" spans="1:4" ht="15.75" x14ac:dyDescent="0.25">
      <c r="A283" s="35">
        <v>44112</v>
      </c>
      <c r="B283" s="60">
        <v>8</v>
      </c>
      <c r="C283" s="36" t="str">
        <f>IFERROR(
  IF(
    VLOOKUP($A283,祝日!$A:$C,2,FALSE)="",
    "",
    VLOOKUP($A283,祝日!$A:$C,2,FALSE)
  ),
  ""
)</f>
        <v/>
      </c>
      <c r="D283" s="36" t="str">
        <f>IFERROR(
  IF(
    VLOOKUP($A283,祝日!$A:$C,3,FALSE)="",
    "",
    VLOOKUP($A283,祝日!$A:$C,3,FALSE)
  ),
  ""
)</f>
        <v/>
      </c>
    </row>
    <row r="284" spans="1:4" ht="15.75" x14ac:dyDescent="0.25">
      <c r="A284" s="35">
        <v>44113</v>
      </c>
      <c r="B284" s="60">
        <v>8</v>
      </c>
      <c r="C284" s="36" t="str">
        <f>IFERROR(
  IF(
    VLOOKUP($A284,祝日!$A:$C,2,FALSE)="",
    "",
    VLOOKUP($A284,祝日!$A:$C,2,FALSE)
  ),
  ""
)</f>
        <v/>
      </c>
      <c r="D284" s="36" t="str">
        <f>IFERROR(
  IF(
    VLOOKUP($A284,祝日!$A:$C,3,FALSE)="",
    "",
    VLOOKUP($A284,祝日!$A:$C,3,FALSE)
  ),
  ""
)</f>
        <v/>
      </c>
    </row>
    <row r="285" spans="1:4" ht="15.75" x14ac:dyDescent="0.25">
      <c r="A285" s="35">
        <v>44114</v>
      </c>
      <c r="B285" s="60">
        <v>8</v>
      </c>
      <c r="C285" s="36" t="str">
        <f>IFERROR(
  IF(
    VLOOKUP($A285,祝日!$A:$C,2,FALSE)="",
    "",
    VLOOKUP($A285,祝日!$A:$C,2,FALSE)
  ),
  ""
)</f>
        <v/>
      </c>
      <c r="D285" s="36" t="str">
        <f>IFERROR(
  IF(
    VLOOKUP($A285,祝日!$A:$C,3,FALSE)="",
    "",
    VLOOKUP($A285,祝日!$A:$C,3,FALSE)
  ),
  ""
)</f>
        <v/>
      </c>
    </row>
    <row r="286" spans="1:4" ht="15.75" x14ac:dyDescent="0.25">
      <c r="A286" s="35">
        <v>44115</v>
      </c>
      <c r="B286" s="60">
        <v>8</v>
      </c>
      <c r="C286" s="36" t="str">
        <f>IFERROR(
  IF(
    VLOOKUP($A286,祝日!$A:$C,2,FALSE)="",
    "",
    VLOOKUP($A286,祝日!$A:$C,2,FALSE)
  ),
  ""
)</f>
        <v/>
      </c>
      <c r="D286" s="36" t="str">
        <f>IFERROR(
  IF(
    VLOOKUP($A286,祝日!$A:$C,3,FALSE)="",
    "",
    VLOOKUP($A286,祝日!$A:$C,3,FALSE)
  ),
  ""
)</f>
        <v/>
      </c>
    </row>
    <row r="287" spans="1:4" ht="15.75" x14ac:dyDescent="0.25">
      <c r="A287" s="35">
        <v>44116</v>
      </c>
      <c r="B287" s="60">
        <v>8</v>
      </c>
      <c r="C287" s="36" t="str">
        <f>IFERROR(
  IF(
    VLOOKUP($A287,祝日!$A:$C,2,FALSE)="",
    "",
    VLOOKUP($A287,祝日!$A:$C,2,FALSE)
  ),
  ""
)</f>
        <v/>
      </c>
      <c r="D287" s="36" t="str">
        <f>IFERROR(
  IF(
    VLOOKUP($A287,祝日!$A:$C,3,FALSE)="",
    "",
    VLOOKUP($A287,祝日!$A:$C,3,FALSE)
  ),
  ""
)</f>
        <v/>
      </c>
    </row>
    <row r="288" spans="1:4" ht="15.75" x14ac:dyDescent="0.25">
      <c r="A288" s="35">
        <v>44117</v>
      </c>
      <c r="B288" s="60">
        <v>8</v>
      </c>
      <c r="C288" s="36" t="str">
        <f>IFERROR(
  IF(
    VLOOKUP($A288,祝日!$A:$C,2,FALSE)="",
    "",
    VLOOKUP($A288,祝日!$A:$C,2,FALSE)
  ),
  ""
)</f>
        <v/>
      </c>
      <c r="D288" s="36" t="str">
        <f>IFERROR(
  IF(
    VLOOKUP($A288,祝日!$A:$C,3,FALSE)="",
    "",
    VLOOKUP($A288,祝日!$A:$C,3,FALSE)
  ),
  ""
)</f>
        <v/>
      </c>
    </row>
    <row r="289" spans="1:4" ht="15.75" x14ac:dyDescent="0.25">
      <c r="A289" s="35">
        <v>44118</v>
      </c>
      <c r="B289" s="60">
        <v>8</v>
      </c>
      <c r="C289" s="36" t="str">
        <f>IFERROR(
  IF(
    VLOOKUP($A289,祝日!$A:$C,2,FALSE)="",
    "",
    VLOOKUP($A289,祝日!$A:$C,2,FALSE)
  ),
  ""
)</f>
        <v/>
      </c>
      <c r="D289" s="36" t="str">
        <f>IFERROR(
  IF(
    VLOOKUP($A289,祝日!$A:$C,3,FALSE)="",
    "",
    VLOOKUP($A289,祝日!$A:$C,3,FALSE)
  ),
  ""
)</f>
        <v/>
      </c>
    </row>
    <row r="290" spans="1:4" ht="15.75" x14ac:dyDescent="0.25">
      <c r="A290" s="35">
        <v>44119</v>
      </c>
      <c r="B290" s="60">
        <v>8</v>
      </c>
      <c r="C290" s="36" t="str">
        <f>IFERROR(
  IF(
    VLOOKUP($A290,祝日!$A:$C,2,FALSE)="",
    "",
    VLOOKUP($A290,祝日!$A:$C,2,FALSE)
  ),
  ""
)</f>
        <v/>
      </c>
      <c r="D290" s="36" t="str">
        <f>IFERROR(
  IF(
    VLOOKUP($A290,祝日!$A:$C,3,FALSE)="",
    "",
    VLOOKUP($A290,祝日!$A:$C,3,FALSE)
  ),
  ""
)</f>
        <v/>
      </c>
    </row>
    <row r="291" spans="1:4" ht="15.75" x14ac:dyDescent="0.25">
      <c r="A291" s="35">
        <v>44120</v>
      </c>
      <c r="B291" s="60">
        <v>8</v>
      </c>
      <c r="C291" s="36" t="str">
        <f>IFERROR(
  IF(
    VLOOKUP($A291,祝日!$A:$C,2,FALSE)="",
    "",
    VLOOKUP($A291,祝日!$A:$C,2,FALSE)
  ),
  ""
)</f>
        <v/>
      </c>
      <c r="D291" s="36" t="str">
        <f>IFERROR(
  IF(
    VLOOKUP($A291,祝日!$A:$C,3,FALSE)="",
    "",
    VLOOKUP($A291,祝日!$A:$C,3,FALSE)
  ),
  ""
)</f>
        <v/>
      </c>
    </row>
    <row r="292" spans="1:4" ht="15.75" x14ac:dyDescent="0.25">
      <c r="A292" s="35">
        <v>44121</v>
      </c>
      <c r="B292" s="60">
        <v>8</v>
      </c>
      <c r="C292" s="36" t="str">
        <f>IFERROR(
  IF(
    VLOOKUP($A292,祝日!$A:$C,2,FALSE)="",
    "",
    VLOOKUP($A292,祝日!$A:$C,2,FALSE)
  ),
  ""
)</f>
        <v/>
      </c>
      <c r="D292" s="36" t="str">
        <f>IFERROR(
  IF(
    VLOOKUP($A292,祝日!$A:$C,3,FALSE)="",
    "",
    VLOOKUP($A292,祝日!$A:$C,3,FALSE)
  ),
  ""
)</f>
        <v/>
      </c>
    </row>
    <row r="293" spans="1:4" ht="15.75" x14ac:dyDescent="0.25">
      <c r="A293" s="35">
        <v>44122</v>
      </c>
      <c r="B293" s="60">
        <v>8</v>
      </c>
      <c r="C293" s="36" t="str">
        <f>IFERROR(
  IF(
    VLOOKUP($A293,祝日!$A:$C,2,FALSE)="",
    "",
    VLOOKUP($A293,祝日!$A:$C,2,FALSE)
  ),
  ""
)</f>
        <v/>
      </c>
      <c r="D293" s="36" t="str">
        <f>IFERROR(
  IF(
    VLOOKUP($A293,祝日!$A:$C,3,FALSE)="",
    "",
    VLOOKUP($A293,祝日!$A:$C,3,FALSE)
  ),
  ""
)</f>
        <v/>
      </c>
    </row>
    <row r="294" spans="1:4" ht="15.75" x14ac:dyDescent="0.25">
      <c r="A294" s="35">
        <v>44123</v>
      </c>
      <c r="B294" s="60">
        <v>8</v>
      </c>
      <c r="C294" s="36" t="str">
        <f>IFERROR(
  IF(
    VLOOKUP($A294,祝日!$A:$C,2,FALSE)="",
    "",
    VLOOKUP($A294,祝日!$A:$C,2,FALSE)
  ),
  ""
)</f>
        <v/>
      </c>
      <c r="D294" s="36" t="str">
        <f>IFERROR(
  IF(
    VLOOKUP($A294,祝日!$A:$C,3,FALSE)="",
    "",
    VLOOKUP($A294,祝日!$A:$C,3,FALSE)
  ),
  ""
)</f>
        <v/>
      </c>
    </row>
    <row r="295" spans="1:4" ht="15.75" x14ac:dyDescent="0.25">
      <c r="A295" s="35">
        <v>44124</v>
      </c>
      <c r="B295" s="60">
        <v>8</v>
      </c>
      <c r="C295" s="36" t="str">
        <f>IFERROR(
  IF(
    VLOOKUP($A295,祝日!$A:$C,2,FALSE)="",
    "",
    VLOOKUP($A295,祝日!$A:$C,2,FALSE)
  ),
  ""
)</f>
        <v/>
      </c>
      <c r="D295" s="36" t="str">
        <f>IFERROR(
  IF(
    VLOOKUP($A295,祝日!$A:$C,3,FALSE)="",
    "",
    VLOOKUP($A295,祝日!$A:$C,3,FALSE)
  ),
  ""
)</f>
        <v/>
      </c>
    </row>
    <row r="296" spans="1:4" ht="15.75" x14ac:dyDescent="0.25">
      <c r="A296" s="35">
        <v>44125</v>
      </c>
      <c r="B296" s="60">
        <v>8</v>
      </c>
      <c r="C296" s="36" t="str">
        <f>IFERROR(
  IF(
    VLOOKUP($A296,祝日!$A:$C,2,FALSE)="",
    "",
    VLOOKUP($A296,祝日!$A:$C,2,FALSE)
  ),
  ""
)</f>
        <v/>
      </c>
      <c r="D296" s="36" t="str">
        <f>IFERROR(
  IF(
    VLOOKUP($A296,祝日!$A:$C,3,FALSE)="",
    "",
    VLOOKUP($A296,祝日!$A:$C,3,FALSE)
  ),
  ""
)</f>
        <v/>
      </c>
    </row>
    <row r="297" spans="1:4" ht="15.75" x14ac:dyDescent="0.25">
      <c r="A297" s="35">
        <v>44126</v>
      </c>
      <c r="B297" s="60">
        <v>8</v>
      </c>
      <c r="C297" s="36" t="str">
        <f>IFERROR(
  IF(
    VLOOKUP($A297,祝日!$A:$C,2,FALSE)="",
    "",
    VLOOKUP($A297,祝日!$A:$C,2,FALSE)
  ),
  ""
)</f>
        <v/>
      </c>
      <c r="D297" s="36" t="str">
        <f>IFERROR(
  IF(
    VLOOKUP($A297,祝日!$A:$C,3,FALSE)="",
    "",
    VLOOKUP($A297,祝日!$A:$C,3,FALSE)
  ),
  ""
)</f>
        <v/>
      </c>
    </row>
    <row r="298" spans="1:4" ht="15.75" x14ac:dyDescent="0.25">
      <c r="A298" s="35">
        <v>44127</v>
      </c>
      <c r="B298" s="60">
        <v>8</v>
      </c>
      <c r="C298" s="36" t="str">
        <f>IFERROR(
  IF(
    VLOOKUP($A298,祝日!$A:$C,2,FALSE)="",
    "",
    VLOOKUP($A298,祝日!$A:$C,2,FALSE)
  ),
  ""
)</f>
        <v/>
      </c>
      <c r="D298" s="36" t="str">
        <f>IFERROR(
  IF(
    VLOOKUP($A298,祝日!$A:$C,3,FALSE)="",
    "",
    VLOOKUP($A298,祝日!$A:$C,3,FALSE)
  ),
  ""
)</f>
        <v/>
      </c>
    </row>
    <row r="299" spans="1:4" ht="15.75" x14ac:dyDescent="0.25">
      <c r="A299" s="35">
        <v>44128</v>
      </c>
      <c r="B299" s="60">
        <v>8</v>
      </c>
      <c r="C299" s="36" t="str">
        <f>IFERROR(
  IF(
    VLOOKUP($A299,祝日!$A:$C,2,FALSE)="",
    "",
    VLOOKUP($A299,祝日!$A:$C,2,FALSE)
  ),
  ""
)</f>
        <v/>
      </c>
      <c r="D299" s="36" t="str">
        <f>IFERROR(
  IF(
    VLOOKUP($A299,祝日!$A:$C,3,FALSE)="",
    "",
    VLOOKUP($A299,祝日!$A:$C,3,FALSE)
  ),
  ""
)</f>
        <v/>
      </c>
    </row>
    <row r="300" spans="1:4" ht="15.75" x14ac:dyDescent="0.25">
      <c r="A300" s="35">
        <v>44129</v>
      </c>
      <c r="B300" s="60">
        <v>8</v>
      </c>
      <c r="C300" s="36" t="str">
        <f>IFERROR(
  IF(
    VLOOKUP($A300,祝日!$A:$C,2,FALSE)="",
    "",
    VLOOKUP($A300,祝日!$A:$C,2,FALSE)
  ),
  ""
)</f>
        <v/>
      </c>
      <c r="D300" s="36" t="str">
        <f>IFERROR(
  IF(
    VLOOKUP($A300,祝日!$A:$C,3,FALSE)="",
    "",
    VLOOKUP($A300,祝日!$A:$C,3,FALSE)
  ),
  ""
)</f>
        <v/>
      </c>
    </row>
    <row r="301" spans="1:4" ht="15.75" x14ac:dyDescent="0.25">
      <c r="A301" s="35">
        <v>44130</v>
      </c>
      <c r="B301" s="60">
        <v>8</v>
      </c>
      <c r="C301" s="36" t="str">
        <f>IFERROR(
  IF(
    VLOOKUP($A301,祝日!$A:$C,2,FALSE)="",
    "",
    VLOOKUP($A301,祝日!$A:$C,2,FALSE)
  ),
  ""
)</f>
        <v/>
      </c>
      <c r="D301" s="36" t="str">
        <f>IFERROR(
  IF(
    VLOOKUP($A301,祝日!$A:$C,3,FALSE)="",
    "",
    VLOOKUP($A301,祝日!$A:$C,3,FALSE)
  ),
  ""
)</f>
        <v/>
      </c>
    </row>
    <row r="302" spans="1:4" ht="15.75" x14ac:dyDescent="0.25">
      <c r="A302" s="35">
        <v>44131</v>
      </c>
      <c r="B302" s="60">
        <v>8</v>
      </c>
      <c r="C302" s="36" t="str">
        <f>IFERROR(
  IF(
    VLOOKUP($A302,祝日!$A:$C,2,FALSE)="",
    "",
    VLOOKUP($A302,祝日!$A:$C,2,FALSE)
  ),
  ""
)</f>
        <v/>
      </c>
      <c r="D302" s="36" t="str">
        <f>IFERROR(
  IF(
    VLOOKUP($A302,祝日!$A:$C,3,FALSE)="",
    "",
    VLOOKUP($A302,祝日!$A:$C,3,FALSE)
  ),
  ""
)</f>
        <v/>
      </c>
    </row>
    <row r="303" spans="1:4" ht="15.75" x14ac:dyDescent="0.25">
      <c r="A303" s="35">
        <v>44132</v>
      </c>
      <c r="B303" s="60">
        <v>8</v>
      </c>
      <c r="C303" s="36" t="str">
        <f>IFERROR(
  IF(
    VLOOKUP($A303,祝日!$A:$C,2,FALSE)="",
    "",
    VLOOKUP($A303,祝日!$A:$C,2,FALSE)
  ),
  ""
)</f>
        <v/>
      </c>
      <c r="D303" s="36" t="str">
        <f>IFERROR(
  IF(
    VLOOKUP($A303,祝日!$A:$C,3,FALSE)="",
    "",
    VLOOKUP($A303,祝日!$A:$C,3,FALSE)
  ),
  ""
)</f>
        <v/>
      </c>
    </row>
    <row r="304" spans="1:4" ht="15.75" x14ac:dyDescent="0.25">
      <c r="A304" s="35">
        <v>44133</v>
      </c>
      <c r="B304" s="60">
        <v>8</v>
      </c>
      <c r="C304" s="36" t="str">
        <f>IFERROR(
  IF(
    VLOOKUP($A304,祝日!$A:$C,2,FALSE)="",
    "",
    VLOOKUP($A304,祝日!$A:$C,2,FALSE)
  ),
  ""
)</f>
        <v/>
      </c>
      <c r="D304" s="36" t="str">
        <f>IFERROR(
  IF(
    VLOOKUP($A304,祝日!$A:$C,3,FALSE)="",
    "",
    VLOOKUP($A304,祝日!$A:$C,3,FALSE)
  ),
  ""
)</f>
        <v/>
      </c>
    </row>
    <row r="305" spans="1:4" ht="15.75" x14ac:dyDescent="0.25">
      <c r="A305" s="35">
        <v>44134</v>
      </c>
      <c r="B305" s="60">
        <v>8</v>
      </c>
      <c r="C305" s="36" t="str">
        <f>IFERROR(
  IF(
    VLOOKUP($A305,祝日!$A:$C,2,FALSE)="",
    "",
    VLOOKUP($A305,祝日!$A:$C,2,FALSE)
  ),
  ""
)</f>
        <v/>
      </c>
      <c r="D305" s="36" t="str">
        <f>IFERROR(
  IF(
    VLOOKUP($A305,祝日!$A:$C,3,FALSE)="",
    "",
    VLOOKUP($A305,祝日!$A:$C,3,FALSE)
  ),
  ""
)</f>
        <v/>
      </c>
    </row>
    <row r="306" spans="1:4" ht="15.75" x14ac:dyDescent="0.25">
      <c r="A306" s="35">
        <v>44135</v>
      </c>
      <c r="B306" s="60">
        <v>8</v>
      </c>
      <c r="C306" s="36" t="str">
        <f>IFERROR(
  IF(
    VLOOKUP($A306,祝日!$A:$C,2,FALSE)="",
    "",
    VLOOKUP($A306,祝日!$A:$C,2,FALSE)
  ),
  ""
)</f>
        <v/>
      </c>
      <c r="D306" s="36" t="str">
        <f>IFERROR(
  IF(
    VLOOKUP($A306,祝日!$A:$C,3,FALSE)="",
    "",
    VLOOKUP($A306,祝日!$A:$C,3,FALSE)
  ),
  ""
)</f>
        <v/>
      </c>
    </row>
    <row r="307" spans="1:4" ht="15.75" x14ac:dyDescent="0.25">
      <c r="A307" s="35">
        <v>44136</v>
      </c>
      <c r="B307" s="60">
        <v>8</v>
      </c>
      <c r="C307" s="36" t="str">
        <f>IFERROR(
  IF(
    VLOOKUP($A307,祝日!$A:$C,2,FALSE)="",
    "",
    VLOOKUP($A307,祝日!$A:$C,2,FALSE)
  ),
  ""
)</f>
        <v/>
      </c>
      <c r="D307" s="36" t="str">
        <f>IFERROR(
  IF(
    VLOOKUP($A307,祝日!$A:$C,3,FALSE)="",
    "",
    VLOOKUP($A307,祝日!$A:$C,3,FALSE)
  ),
  ""
)</f>
        <v/>
      </c>
    </row>
    <row r="308" spans="1:4" ht="15.75" x14ac:dyDescent="0.25">
      <c r="A308" s="35">
        <v>44137</v>
      </c>
      <c r="B308" s="60">
        <v>8</v>
      </c>
      <c r="C308" s="36" t="str">
        <f>IFERROR(
  IF(
    VLOOKUP($A308,祝日!$A:$C,2,FALSE)="",
    "",
    VLOOKUP($A308,祝日!$A:$C,2,FALSE)
  ),
  ""
)</f>
        <v/>
      </c>
      <c r="D308" s="36" t="str">
        <f>IFERROR(
  IF(
    VLOOKUP($A308,祝日!$A:$C,3,FALSE)="",
    "",
    VLOOKUP($A308,祝日!$A:$C,3,FALSE)
  ),
  ""
)</f>
        <v/>
      </c>
    </row>
    <row r="309" spans="1:4" ht="15.75" x14ac:dyDescent="0.25">
      <c r="A309" s="35">
        <v>44138</v>
      </c>
      <c r="B309" s="60">
        <v>8</v>
      </c>
      <c r="C309" s="36" t="str">
        <f>IFERROR(
  IF(
    VLOOKUP($A309,祝日!$A:$C,2,FALSE)="",
    "",
    VLOOKUP($A309,祝日!$A:$C,2,FALSE)
  ),
  ""
)</f>
        <v xml:space="preserve">文化の日 </v>
      </c>
      <c r="D309" s="36" t="str">
        <f>IFERROR(
  IF(
    VLOOKUP($A309,祝日!$A:$C,3,FALSE)="",
    "",
    VLOOKUP($A309,祝日!$A:$C,3,FALSE)
  ),
  ""
)</f>
        <v/>
      </c>
    </row>
    <row r="310" spans="1:4" ht="15.75" x14ac:dyDescent="0.25">
      <c r="A310" s="35">
        <v>44139</v>
      </c>
      <c r="B310" s="60">
        <v>8</v>
      </c>
      <c r="C310" s="36" t="str">
        <f>IFERROR(
  IF(
    VLOOKUP($A310,祝日!$A:$C,2,FALSE)="",
    "",
    VLOOKUP($A310,祝日!$A:$C,2,FALSE)
  ),
  ""
)</f>
        <v/>
      </c>
      <c r="D310" s="36" t="str">
        <f>IFERROR(
  IF(
    VLOOKUP($A310,祝日!$A:$C,3,FALSE)="",
    "",
    VLOOKUP($A310,祝日!$A:$C,3,FALSE)
  ),
  ""
)</f>
        <v/>
      </c>
    </row>
    <row r="311" spans="1:4" ht="15.75" x14ac:dyDescent="0.25">
      <c r="A311" s="35">
        <v>44140</v>
      </c>
      <c r="B311" s="60">
        <v>8</v>
      </c>
      <c r="C311" s="36" t="str">
        <f>IFERROR(
  IF(
    VLOOKUP($A311,祝日!$A:$C,2,FALSE)="",
    "",
    VLOOKUP($A311,祝日!$A:$C,2,FALSE)
  ),
  ""
)</f>
        <v/>
      </c>
      <c r="D311" s="36" t="str">
        <f>IFERROR(
  IF(
    VLOOKUP($A311,祝日!$A:$C,3,FALSE)="",
    "",
    VLOOKUP($A311,祝日!$A:$C,3,FALSE)
  ),
  ""
)</f>
        <v/>
      </c>
    </row>
    <row r="312" spans="1:4" ht="15.75" x14ac:dyDescent="0.25">
      <c r="A312" s="35">
        <v>44141</v>
      </c>
      <c r="B312" s="60">
        <v>8</v>
      </c>
      <c r="C312" s="36" t="str">
        <f>IFERROR(
  IF(
    VLOOKUP($A312,祝日!$A:$C,2,FALSE)="",
    "",
    VLOOKUP($A312,祝日!$A:$C,2,FALSE)
  ),
  ""
)</f>
        <v/>
      </c>
      <c r="D312" s="36" t="str">
        <f>IFERROR(
  IF(
    VLOOKUP($A312,祝日!$A:$C,3,FALSE)="",
    "",
    VLOOKUP($A312,祝日!$A:$C,3,FALSE)
  ),
  ""
)</f>
        <v/>
      </c>
    </row>
    <row r="313" spans="1:4" ht="15.75" x14ac:dyDescent="0.25">
      <c r="A313" s="35">
        <v>44142</v>
      </c>
      <c r="B313" s="60">
        <v>8</v>
      </c>
      <c r="C313" s="36" t="str">
        <f>IFERROR(
  IF(
    VLOOKUP($A313,祝日!$A:$C,2,FALSE)="",
    "",
    VLOOKUP($A313,祝日!$A:$C,2,FALSE)
  ),
  ""
)</f>
        <v/>
      </c>
      <c r="D313" s="36" t="str">
        <f>IFERROR(
  IF(
    VLOOKUP($A313,祝日!$A:$C,3,FALSE)="",
    "",
    VLOOKUP($A313,祝日!$A:$C,3,FALSE)
  ),
  ""
)</f>
        <v/>
      </c>
    </row>
    <row r="314" spans="1:4" ht="15.75" x14ac:dyDescent="0.25">
      <c r="A314" s="35">
        <v>44143</v>
      </c>
      <c r="B314" s="60">
        <v>8</v>
      </c>
      <c r="C314" s="36" t="str">
        <f>IFERROR(
  IF(
    VLOOKUP($A314,祝日!$A:$C,2,FALSE)="",
    "",
    VLOOKUP($A314,祝日!$A:$C,2,FALSE)
  ),
  ""
)</f>
        <v/>
      </c>
      <c r="D314" s="36" t="str">
        <f>IFERROR(
  IF(
    VLOOKUP($A314,祝日!$A:$C,3,FALSE)="",
    "",
    VLOOKUP($A314,祝日!$A:$C,3,FALSE)
  ),
  ""
)</f>
        <v/>
      </c>
    </row>
    <row r="315" spans="1:4" ht="15.75" x14ac:dyDescent="0.25">
      <c r="A315" s="35">
        <v>44144</v>
      </c>
      <c r="B315" s="60">
        <v>8</v>
      </c>
      <c r="C315" s="36" t="str">
        <f>IFERROR(
  IF(
    VLOOKUP($A315,祝日!$A:$C,2,FALSE)="",
    "",
    VLOOKUP($A315,祝日!$A:$C,2,FALSE)
  ),
  ""
)</f>
        <v/>
      </c>
      <c r="D315" s="36" t="str">
        <f>IFERROR(
  IF(
    VLOOKUP($A315,祝日!$A:$C,3,FALSE)="",
    "",
    VLOOKUP($A315,祝日!$A:$C,3,FALSE)
  ),
  ""
)</f>
        <v/>
      </c>
    </row>
    <row r="316" spans="1:4" ht="15.75" x14ac:dyDescent="0.25">
      <c r="A316" s="35">
        <v>44145</v>
      </c>
      <c r="B316" s="60">
        <v>8</v>
      </c>
      <c r="C316" s="36" t="str">
        <f>IFERROR(
  IF(
    VLOOKUP($A316,祝日!$A:$C,2,FALSE)="",
    "",
    VLOOKUP($A316,祝日!$A:$C,2,FALSE)
  ),
  ""
)</f>
        <v/>
      </c>
      <c r="D316" s="36" t="str">
        <f>IFERROR(
  IF(
    VLOOKUP($A316,祝日!$A:$C,3,FALSE)="",
    "",
    VLOOKUP($A316,祝日!$A:$C,3,FALSE)
  ),
  ""
)</f>
        <v/>
      </c>
    </row>
    <row r="317" spans="1:4" ht="15.75" x14ac:dyDescent="0.25">
      <c r="A317" s="35">
        <v>44146</v>
      </c>
      <c r="B317" s="60">
        <v>8</v>
      </c>
      <c r="C317" s="36" t="str">
        <f>IFERROR(
  IF(
    VLOOKUP($A317,祝日!$A:$C,2,FALSE)="",
    "",
    VLOOKUP($A317,祝日!$A:$C,2,FALSE)
  ),
  ""
)</f>
        <v/>
      </c>
      <c r="D317" s="36" t="str">
        <f>IFERROR(
  IF(
    VLOOKUP($A317,祝日!$A:$C,3,FALSE)="",
    "",
    VLOOKUP($A317,祝日!$A:$C,3,FALSE)
  ),
  ""
)</f>
        <v/>
      </c>
    </row>
    <row r="318" spans="1:4" ht="15.75" x14ac:dyDescent="0.25">
      <c r="A318" s="35">
        <v>44147</v>
      </c>
      <c r="B318" s="60">
        <v>8</v>
      </c>
      <c r="C318" s="36" t="str">
        <f>IFERROR(
  IF(
    VLOOKUP($A318,祝日!$A:$C,2,FALSE)="",
    "",
    VLOOKUP($A318,祝日!$A:$C,2,FALSE)
  ),
  ""
)</f>
        <v/>
      </c>
      <c r="D318" s="36" t="str">
        <f>IFERROR(
  IF(
    VLOOKUP($A318,祝日!$A:$C,3,FALSE)="",
    "",
    VLOOKUP($A318,祝日!$A:$C,3,FALSE)
  ),
  ""
)</f>
        <v/>
      </c>
    </row>
    <row r="319" spans="1:4" ht="15.75" x14ac:dyDescent="0.25">
      <c r="A319" s="35">
        <v>44148</v>
      </c>
      <c r="B319" s="60">
        <v>8</v>
      </c>
      <c r="C319" s="36" t="str">
        <f>IFERROR(
  IF(
    VLOOKUP($A319,祝日!$A:$C,2,FALSE)="",
    "",
    VLOOKUP($A319,祝日!$A:$C,2,FALSE)
  ),
  ""
)</f>
        <v/>
      </c>
      <c r="D319" s="36" t="str">
        <f>IFERROR(
  IF(
    VLOOKUP($A319,祝日!$A:$C,3,FALSE)="",
    "",
    VLOOKUP($A319,祝日!$A:$C,3,FALSE)
  ),
  ""
)</f>
        <v/>
      </c>
    </row>
    <row r="320" spans="1:4" ht="15.75" x14ac:dyDescent="0.25">
      <c r="A320" s="35">
        <v>44149</v>
      </c>
      <c r="B320" s="60">
        <v>8</v>
      </c>
      <c r="C320" s="36" t="str">
        <f>IFERROR(
  IF(
    VLOOKUP($A320,祝日!$A:$C,2,FALSE)="",
    "",
    VLOOKUP($A320,祝日!$A:$C,2,FALSE)
  ),
  ""
)</f>
        <v/>
      </c>
      <c r="D320" s="36" t="str">
        <f>IFERROR(
  IF(
    VLOOKUP($A320,祝日!$A:$C,3,FALSE)="",
    "",
    VLOOKUP($A320,祝日!$A:$C,3,FALSE)
  ),
  ""
)</f>
        <v/>
      </c>
    </row>
    <row r="321" spans="1:4" ht="15.75" x14ac:dyDescent="0.25">
      <c r="A321" s="35">
        <v>44150</v>
      </c>
      <c r="B321" s="60">
        <v>8</v>
      </c>
      <c r="C321" s="36" t="str">
        <f>IFERROR(
  IF(
    VLOOKUP($A321,祝日!$A:$C,2,FALSE)="",
    "",
    VLOOKUP($A321,祝日!$A:$C,2,FALSE)
  ),
  ""
)</f>
        <v/>
      </c>
      <c r="D321" s="36" t="str">
        <f>IFERROR(
  IF(
    VLOOKUP($A321,祝日!$A:$C,3,FALSE)="",
    "",
    VLOOKUP($A321,祝日!$A:$C,3,FALSE)
  ),
  ""
)</f>
        <v/>
      </c>
    </row>
    <row r="322" spans="1:4" ht="15.75" x14ac:dyDescent="0.25">
      <c r="A322" s="35">
        <v>44151</v>
      </c>
      <c r="B322" s="60">
        <v>8</v>
      </c>
      <c r="C322" s="36" t="str">
        <f>IFERROR(
  IF(
    VLOOKUP($A322,祝日!$A:$C,2,FALSE)="",
    "",
    VLOOKUP($A322,祝日!$A:$C,2,FALSE)
  ),
  ""
)</f>
        <v/>
      </c>
      <c r="D322" s="36" t="str">
        <f>IFERROR(
  IF(
    VLOOKUP($A322,祝日!$A:$C,3,FALSE)="",
    "",
    VLOOKUP($A322,祝日!$A:$C,3,FALSE)
  ),
  ""
)</f>
        <v/>
      </c>
    </row>
    <row r="323" spans="1:4" ht="15.75" x14ac:dyDescent="0.25">
      <c r="A323" s="35">
        <v>44152</v>
      </c>
      <c r="B323" s="60">
        <v>8</v>
      </c>
      <c r="C323" s="36" t="str">
        <f>IFERROR(
  IF(
    VLOOKUP($A323,祝日!$A:$C,2,FALSE)="",
    "",
    VLOOKUP($A323,祝日!$A:$C,2,FALSE)
  ),
  ""
)</f>
        <v/>
      </c>
      <c r="D323" s="36" t="str">
        <f>IFERROR(
  IF(
    VLOOKUP($A323,祝日!$A:$C,3,FALSE)="",
    "",
    VLOOKUP($A323,祝日!$A:$C,3,FALSE)
  ),
  ""
)</f>
        <v/>
      </c>
    </row>
    <row r="324" spans="1:4" ht="15.75" x14ac:dyDescent="0.25">
      <c r="A324" s="35">
        <v>44153</v>
      </c>
      <c r="B324" s="60">
        <v>8</v>
      </c>
      <c r="C324" s="36" t="str">
        <f>IFERROR(
  IF(
    VLOOKUP($A324,祝日!$A:$C,2,FALSE)="",
    "",
    VLOOKUP($A324,祝日!$A:$C,2,FALSE)
  ),
  ""
)</f>
        <v/>
      </c>
      <c r="D324" s="36" t="str">
        <f>IFERROR(
  IF(
    VLOOKUP($A324,祝日!$A:$C,3,FALSE)="",
    "",
    VLOOKUP($A324,祝日!$A:$C,3,FALSE)
  ),
  ""
)</f>
        <v/>
      </c>
    </row>
    <row r="325" spans="1:4" ht="15.75" x14ac:dyDescent="0.25">
      <c r="A325" s="35">
        <v>44154</v>
      </c>
      <c r="B325" s="60">
        <v>8</v>
      </c>
      <c r="C325" s="36" t="str">
        <f>IFERROR(
  IF(
    VLOOKUP($A325,祝日!$A:$C,2,FALSE)="",
    "",
    VLOOKUP($A325,祝日!$A:$C,2,FALSE)
  ),
  ""
)</f>
        <v/>
      </c>
      <c r="D325" s="36" t="str">
        <f>IFERROR(
  IF(
    VLOOKUP($A325,祝日!$A:$C,3,FALSE)="",
    "",
    VLOOKUP($A325,祝日!$A:$C,3,FALSE)
  ),
  ""
)</f>
        <v/>
      </c>
    </row>
    <row r="326" spans="1:4" ht="15.75" x14ac:dyDescent="0.25">
      <c r="A326" s="35">
        <v>44155</v>
      </c>
      <c r="B326" s="60">
        <v>8</v>
      </c>
      <c r="C326" s="36" t="str">
        <f>IFERROR(
  IF(
    VLOOKUP($A326,祝日!$A:$C,2,FALSE)="",
    "",
    VLOOKUP($A326,祝日!$A:$C,2,FALSE)
  ),
  ""
)</f>
        <v/>
      </c>
      <c r="D326" s="36" t="str">
        <f>IFERROR(
  IF(
    VLOOKUP($A326,祝日!$A:$C,3,FALSE)="",
    "",
    VLOOKUP($A326,祝日!$A:$C,3,FALSE)
  ),
  ""
)</f>
        <v/>
      </c>
    </row>
    <row r="327" spans="1:4" ht="15.75" x14ac:dyDescent="0.25">
      <c r="A327" s="35">
        <v>44156</v>
      </c>
      <c r="B327" s="60">
        <v>8</v>
      </c>
      <c r="C327" s="36" t="str">
        <f>IFERROR(
  IF(
    VLOOKUP($A327,祝日!$A:$C,2,FALSE)="",
    "",
    VLOOKUP($A327,祝日!$A:$C,2,FALSE)
  ),
  ""
)</f>
        <v/>
      </c>
      <c r="D327" s="36" t="str">
        <f>IFERROR(
  IF(
    VLOOKUP($A327,祝日!$A:$C,3,FALSE)="",
    "",
    VLOOKUP($A327,祝日!$A:$C,3,FALSE)
  ),
  ""
)</f>
        <v/>
      </c>
    </row>
    <row r="328" spans="1:4" ht="15.75" x14ac:dyDescent="0.25">
      <c r="A328" s="35">
        <v>44157</v>
      </c>
      <c r="B328" s="60">
        <v>8</v>
      </c>
      <c r="C328" s="36" t="str">
        <f>IFERROR(
  IF(
    VLOOKUP($A328,祝日!$A:$C,2,FALSE)="",
    "",
    VLOOKUP($A328,祝日!$A:$C,2,FALSE)
  ),
  ""
)</f>
        <v/>
      </c>
      <c r="D328" s="36" t="str">
        <f>IFERROR(
  IF(
    VLOOKUP($A328,祝日!$A:$C,3,FALSE)="",
    "",
    VLOOKUP($A328,祝日!$A:$C,3,FALSE)
  ),
  ""
)</f>
        <v/>
      </c>
    </row>
    <row r="329" spans="1:4" ht="15.75" x14ac:dyDescent="0.25">
      <c r="A329" s="35">
        <v>44158</v>
      </c>
      <c r="B329" s="60">
        <v>8</v>
      </c>
      <c r="C329" s="36" t="str">
        <f>IFERROR(
  IF(
    VLOOKUP($A329,祝日!$A:$C,2,FALSE)="",
    "",
    VLOOKUP($A329,祝日!$A:$C,2,FALSE)
  ),
  ""
)</f>
        <v xml:space="preserve">勤労感謝の日 </v>
      </c>
      <c r="D329" s="36" t="str">
        <f>IFERROR(
  IF(
    VLOOKUP($A329,祝日!$A:$C,3,FALSE)="",
    "",
    VLOOKUP($A329,祝日!$A:$C,3,FALSE)
  ),
  ""
)</f>
        <v/>
      </c>
    </row>
    <row r="330" spans="1:4" ht="15.75" x14ac:dyDescent="0.25">
      <c r="A330" s="35">
        <v>44159</v>
      </c>
      <c r="B330" s="60">
        <v>8</v>
      </c>
      <c r="C330" s="36" t="str">
        <f>IFERROR(
  IF(
    VLOOKUP($A330,祝日!$A:$C,2,FALSE)="",
    "",
    VLOOKUP($A330,祝日!$A:$C,2,FALSE)
  ),
  ""
)</f>
        <v/>
      </c>
      <c r="D330" s="36" t="str">
        <f>IFERROR(
  IF(
    VLOOKUP($A330,祝日!$A:$C,3,FALSE)="",
    "",
    VLOOKUP($A330,祝日!$A:$C,3,FALSE)
  ),
  ""
)</f>
        <v/>
      </c>
    </row>
    <row r="331" spans="1:4" ht="15.75" x14ac:dyDescent="0.25">
      <c r="A331" s="35">
        <v>44160</v>
      </c>
      <c r="B331" s="60">
        <v>8</v>
      </c>
      <c r="C331" s="36" t="str">
        <f>IFERROR(
  IF(
    VLOOKUP($A331,祝日!$A:$C,2,FALSE)="",
    "",
    VLOOKUP($A331,祝日!$A:$C,2,FALSE)
  ),
  ""
)</f>
        <v/>
      </c>
      <c r="D331" s="36" t="str">
        <f>IFERROR(
  IF(
    VLOOKUP($A331,祝日!$A:$C,3,FALSE)="",
    "",
    VLOOKUP($A331,祝日!$A:$C,3,FALSE)
  ),
  ""
)</f>
        <v/>
      </c>
    </row>
    <row r="332" spans="1:4" ht="15.75" x14ac:dyDescent="0.25">
      <c r="A332" s="35">
        <v>44161</v>
      </c>
      <c r="B332" s="60">
        <v>8</v>
      </c>
      <c r="C332" s="36" t="str">
        <f>IFERROR(
  IF(
    VLOOKUP($A332,祝日!$A:$C,2,FALSE)="",
    "",
    VLOOKUP($A332,祝日!$A:$C,2,FALSE)
  ),
  ""
)</f>
        <v/>
      </c>
      <c r="D332" s="36" t="str">
        <f>IFERROR(
  IF(
    VLOOKUP($A332,祝日!$A:$C,3,FALSE)="",
    "",
    VLOOKUP($A332,祝日!$A:$C,3,FALSE)
  ),
  ""
)</f>
        <v/>
      </c>
    </row>
    <row r="333" spans="1:4" ht="15.75" x14ac:dyDescent="0.25">
      <c r="A333" s="35">
        <v>44162</v>
      </c>
      <c r="B333" s="60">
        <v>8</v>
      </c>
      <c r="C333" s="36" t="str">
        <f>IFERROR(
  IF(
    VLOOKUP($A333,祝日!$A:$C,2,FALSE)="",
    "",
    VLOOKUP($A333,祝日!$A:$C,2,FALSE)
  ),
  ""
)</f>
        <v/>
      </c>
      <c r="D333" s="36" t="str">
        <f>IFERROR(
  IF(
    VLOOKUP($A333,祝日!$A:$C,3,FALSE)="",
    "",
    VLOOKUP($A333,祝日!$A:$C,3,FALSE)
  ),
  ""
)</f>
        <v/>
      </c>
    </row>
    <row r="334" spans="1:4" ht="15.75" x14ac:dyDescent="0.25">
      <c r="A334" s="35">
        <v>44163</v>
      </c>
      <c r="B334" s="60">
        <v>8</v>
      </c>
      <c r="C334" s="36" t="str">
        <f>IFERROR(
  IF(
    VLOOKUP($A334,祝日!$A:$C,2,FALSE)="",
    "",
    VLOOKUP($A334,祝日!$A:$C,2,FALSE)
  ),
  ""
)</f>
        <v/>
      </c>
      <c r="D334" s="36" t="str">
        <f>IFERROR(
  IF(
    VLOOKUP($A334,祝日!$A:$C,3,FALSE)="",
    "",
    VLOOKUP($A334,祝日!$A:$C,3,FALSE)
  ),
  ""
)</f>
        <v/>
      </c>
    </row>
    <row r="335" spans="1:4" ht="15.75" x14ac:dyDescent="0.25">
      <c r="A335" s="35">
        <v>44164</v>
      </c>
      <c r="B335" s="60">
        <v>8</v>
      </c>
      <c r="C335" s="36" t="str">
        <f>IFERROR(
  IF(
    VLOOKUP($A335,祝日!$A:$C,2,FALSE)="",
    "",
    VLOOKUP($A335,祝日!$A:$C,2,FALSE)
  ),
  ""
)</f>
        <v/>
      </c>
      <c r="D335" s="36" t="str">
        <f>IFERROR(
  IF(
    VLOOKUP($A335,祝日!$A:$C,3,FALSE)="",
    "",
    VLOOKUP($A335,祝日!$A:$C,3,FALSE)
  ),
  ""
)</f>
        <v/>
      </c>
    </row>
    <row r="336" spans="1:4" ht="15.75" x14ac:dyDescent="0.25">
      <c r="A336" s="35">
        <v>44165</v>
      </c>
      <c r="B336" s="60">
        <v>8</v>
      </c>
      <c r="C336" s="36" t="str">
        <f>IFERROR(
  IF(
    VLOOKUP($A336,祝日!$A:$C,2,FALSE)="",
    "",
    VLOOKUP($A336,祝日!$A:$C,2,FALSE)
  ),
  ""
)</f>
        <v/>
      </c>
      <c r="D336" s="36" t="str">
        <f>IFERROR(
  IF(
    VLOOKUP($A336,祝日!$A:$C,3,FALSE)="",
    "",
    VLOOKUP($A336,祝日!$A:$C,3,FALSE)
  ),
  ""
)</f>
        <v/>
      </c>
    </row>
    <row r="337" spans="1:4" ht="15.75" x14ac:dyDescent="0.25">
      <c r="A337" s="35">
        <v>44166</v>
      </c>
      <c r="B337" s="60">
        <v>8</v>
      </c>
      <c r="C337" s="36" t="str">
        <f>IFERROR(
  IF(
    VLOOKUP($A337,祝日!$A:$C,2,FALSE)="",
    "",
    VLOOKUP($A337,祝日!$A:$C,2,FALSE)
  ),
  ""
)</f>
        <v/>
      </c>
      <c r="D337" s="36" t="str">
        <f>IFERROR(
  IF(
    VLOOKUP($A337,祝日!$A:$C,3,FALSE)="",
    "",
    VLOOKUP($A337,祝日!$A:$C,3,FALSE)
  ),
  ""
)</f>
        <v/>
      </c>
    </row>
    <row r="338" spans="1:4" ht="15.75" x14ac:dyDescent="0.25">
      <c r="A338" s="35">
        <v>44167</v>
      </c>
      <c r="B338" s="60">
        <v>8</v>
      </c>
      <c r="C338" s="36" t="str">
        <f>IFERROR(
  IF(
    VLOOKUP($A338,祝日!$A:$C,2,FALSE)="",
    "",
    VLOOKUP($A338,祝日!$A:$C,2,FALSE)
  ),
  ""
)</f>
        <v/>
      </c>
      <c r="D338" s="36" t="str">
        <f>IFERROR(
  IF(
    VLOOKUP($A338,祝日!$A:$C,3,FALSE)="",
    "",
    VLOOKUP($A338,祝日!$A:$C,3,FALSE)
  ),
  ""
)</f>
        <v/>
      </c>
    </row>
    <row r="339" spans="1:4" ht="15.75" x14ac:dyDescent="0.25">
      <c r="A339" s="35">
        <v>44168</v>
      </c>
      <c r="B339" s="60">
        <v>8</v>
      </c>
      <c r="C339" s="36" t="str">
        <f>IFERROR(
  IF(
    VLOOKUP($A339,祝日!$A:$C,2,FALSE)="",
    "",
    VLOOKUP($A339,祝日!$A:$C,2,FALSE)
  ),
  ""
)</f>
        <v/>
      </c>
      <c r="D339" s="36" t="str">
        <f>IFERROR(
  IF(
    VLOOKUP($A339,祝日!$A:$C,3,FALSE)="",
    "",
    VLOOKUP($A339,祝日!$A:$C,3,FALSE)
  ),
  ""
)</f>
        <v/>
      </c>
    </row>
    <row r="340" spans="1:4" ht="15.75" x14ac:dyDescent="0.25">
      <c r="A340" s="35">
        <v>44169</v>
      </c>
      <c r="B340" s="60">
        <v>8</v>
      </c>
      <c r="C340" s="36" t="str">
        <f>IFERROR(
  IF(
    VLOOKUP($A340,祝日!$A:$C,2,FALSE)="",
    "",
    VLOOKUP($A340,祝日!$A:$C,2,FALSE)
  ),
  ""
)</f>
        <v/>
      </c>
      <c r="D340" s="36" t="str">
        <f>IFERROR(
  IF(
    VLOOKUP($A340,祝日!$A:$C,3,FALSE)="",
    "",
    VLOOKUP($A340,祝日!$A:$C,3,FALSE)
  ),
  ""
)</f>
        <v/>
      </c>
    </row>
    <row r="341" spans="1:4" ht="15.75" x14ac:dyDescent="0.25">
      <c r="A341" s="35">
        <v>44170</v>
      </c>
      <c r="B341" s="60">
        <v>8</v>
      </c>
      <c r="C341" s="36" t="str">
        <f>IFERROR(
  IF(
    VLOOKUP($A341,祝日!$A:$C,2,FALSE)="",
    "",
    VLOOKUP($A341,祝日!$A:$C,2,FALSE)
  ),
  ""
)</f>
        <v/>
      </c>
      <c r="D341" s="36" t="str">
        <f>IFERROR(
  IF(
    VLOOKUP($A341,祝日!$A:$C,3,FALSE)="",
    "",
    VLOOKUP($A341,祝日!$A:$C,3,FALSE)
  ),
  ""
)</f>
        <v/>
      </c>
    </row>
    <row r="342" spans="1:4" ht="15.75" x14ac:dyDescent="0.25">
      <c r="A342" s="35">
        <v>44171</v>
      </c>
      <c r="B342" s="60">
        <v>8</v>
      </c>
      <c r="C342" s="36" t="str">
        <f>IFERROR(
  IF(
    VLOOKUP($A342,祝日!$A:$C,2,FALSE)="",
    "",
    VLOOKUP($A342,祝日!$A:$C,2,FALSE)
  ),
  ""
)</f>
        <v/>
      </c>
      <c r="D342" s="36" t="str">
        <f>IFERROR(
  IF(
    VLOOKUP($A342,祝日!$A:$C,3,FALSE)="",
    "",
    VLOOKUP($A342,祝日!$A:$C,3,FALSE)
  ),
  ""
)</f>
        <v/>
      </c>
    </row>
    <row r="343" spans="1:4" ht="15.75" x14ac:dyDescent="0.25">
      <c r="A343" s="35">
        <v>44172</v>
      </c>
      <c r="B343" s="60">
        <v>8</v>
      </c>
      <c r="C343" s="36" t="str">
        <f>IFERROR(
  IF(
    VLOOKUP($A343,祝日!$A:$C,2,FALSE)="",
    "",
    VLOOKUP($A343,祝日!$A:$C,2,FALSE)
  ),
  ""
)</f>
        <v/>
      </c>
      <c r="D343" s="36" t="str">
        <f>IFERROR(
  IF(
    VLOOKUP($A343,祝日!$A:$C,3,FALSE)="",
    "",
    VLOOKUP($A343,祝日!$A:$C,3,FALSE)
  ),
  ""
)</f>
        <v/>
      </c>
    </row>
    <row r="344" spans="1:4" ht="15.75" x14ac:dyDescent="0.25">
      <c r="A344" s="35">
        <v>44173</v>
      </c>
      <c r="B344" s="60">
        <v>8</v>
      </c>
      <c r="C344" s="36" t="str">
        <f>IFERROR(
  IF(
    VLOOKUP($A344,祝日!$A:$C,2,FALSE)="",
    "",
    VLOOKUP($A344,祝日!$A:$C,2,FALSE)
  ),
  ""
)</f>
        <v/>
      </c>
      <c r="D344" s="36" t="str">
        <f>IFERROR(
  IF(
    VLOOKUP($A344,祝日!$A:$C,3,FALSE)="",
    "",
    VLOOKUP($A344,祝日!$A:$C,3,FALSE)
  ),
  ""
)</f>
        <v/>
      </c>
    </row>
    <row r="345" spans="1:4" ht="15.75" x14ac:dyDescent="0.25">
      <c r="A345" s="35">
        <v>44174</v>
      </c>
      <c r="B345" s="60">
        <v>8</v>
      </c>
      <c r="C345" s="36" t="str">
        <f>IFERROR(
  IF(
    VLOOKUP($A345,祝日!$A:$C,2,FALSE)="",
    "",
    VLOOKUP($A345,祝日!$A:$C,2,FALSE)
  ),
  ""
)</f>
        <v/>
      </c>
      <c r="D345" s="36" t="str">
        <f>IFERROR(
  IF(
    VLOOKUP($A345,祝日!$A:$C,3,FALSE)="",
    "",
    VLOOKUP($A345,祝日!$A:$C,3,FALSE)
  ),
  ""
)</f>
        <v/>
      </c>
    </row>
    <row r="346" spans="1:4" ht="15.75" x14ac:dyDescent="0.25">
      <c r="A346" s="35">
        <v>44175</v>
      </c>
      <c r="B346" s="60">
        <v>8</v>
      </c>
      <c r="C346" s="36" t="str">
        <f>IFERROR(
  IF(
    VLOOKUP($A346,祝日!$A:$C,2,FALSE)="",
    "",
    VLOOKUP($A346,祝日!$A:$C,2,FALSE)
  ),
  ""
)</f>
        <v/>
      </c>
      <c r="D346" s="36" t="str">
        <f>IFERROR(
  IF(
    VLOOKUP($A346,祝日!$A:$C,3,FALSE)="",
    "",
    VLOOKUP($A346,祝日!$A:$C,3,FALSE)
  ),
  ""
)</f>
        <v/>
      </c>
    </row>
    <row r="347" spans="1:4" ht="15.75" x14ac:dyDescent="0.25">
      <c r="A347" s="35">
        <v>44176</v>
      </c>
      <c r="B347" s="60">
        <v>8</v>
      </c>
      <c r="C347" s="36" t="str">
        <f>IFERROR(
  IF(
    VLOOKUP($A347,祝日!$A:$C,2,FALSE)="",
    "",
    VLOOKUP($A347,祝日!$A:$C,2,FALSE)
  ),
  ""
)</f>
        <v/>
      </c>
      <c r="D347" s="36" t="str">
        <f>IFERROR(
  IF(
    VLOOKUP($A347,祝日!$A:$C,3,FALSE)="",
    "",
    VLOOKUP($A347,祝日!$A:$C,3,FALSE)
  ),
  ""
)</f>
        <v/>
      </c>
    </row>
    <row r="348" spans="1:4" ht="15.75" x14ac:dyDescent="0.25">
      <c r="A348" s="35">
        <v>44177</v>
      </c>
      <c r="B348" s="60">
        <v>8</v>
      </c>
      <c r="C348" s="36" t="str">
        <f>IFERROR(
  IF(
    VLOOKUP($A348,祝日!$A:$C,2,FALSE)="",
    "",
    VLOOKUP($A348,祝日!$A:$C,2,FALSE)
  ),
  ""
)</f>
        <v/>
      </c>
      <c r="D348" s="36" t="str">
        <f>IFERROR(
  IF(
    VLOOKUP($A348,祝日!$A:$C,3,FALSE)="",
    "",
    VLOOKUP($A348,祝日!$A:$C,3,FALSE)
  ),
  ""
)</f>
        <v/>
      </c>
    </row>
    <row r="349" spans="1:4" ht="15.75" x14ac:dyDescent="0.25">
      <c r="A349" s="35">
        <v>44178</v>
      </c>
      <c r="B349" s="60">
        <v>8</v>
      </c>
      <c r="C349" s="36" t="str">
        <f>IFERROR(
  IF(
    VLOOKUP($A349,祝日!$A:$C,2,FALSE)="",
    "",
    VLOOKUP($A349,祝日!$A:$C,2,FALSE)
  ),
  ""
)</f>
        <v/>
      </c>
      <c r="D349" s="36" t="str">
        <f>IFERROR(
  IF(
    VLOOKUP($A349,祝日!$A:$C,3,FALSE)="",
    "",
    VLOOKUP($A349,祝日!$A:$C,3,FALSE)
  ),
  ""
)</f>
        <v/>
      </c>
    </row>
    <row r="350" spans="1:4" ht="15.75" x14ac:dyDescent="0.25">
      <c r="A350" s="35">
        <v>44179</v>
      </c>
      <c r="B350" s="60">
        <v>8</v>
      </c>
      <c r="C350" s="36" t="str">
        <f>IFERROR(
  IF(
    VLOOKUP($A350,祝日!$A:$C,2,FALSE)="",
    "",
    VLOOKUP($A350,祝日!$A:$C,2,FALSE)
  ),
  ""
)</f>
        <v/>
      </c>
      <c r="D350" s="36" t="str">
        <f>IFERROR(
  IF(
    VLOOKUP($A350,祝日!$A:$C,3,FALSE)="",
    "",
    VLOOKUP($A350,祝日!$A:$C,3,FALSE)
  ),
  ""
)</f>
        <v/>
      </c>
    </row>
    <row r="351" spans="1:4" ht="15.75" x14ac:dyDescent="0.25">
      <c r="A351" s="35">
        <v>44180</v>
      </c>
      <c r="B351" s="60">
        <v>8</v>
      </c>
      <c r="C351" s="36" t="str">
        <f>IFERROR(
  IF(
    VLOOKUP($A351,祝日!$A:$C,2,FALSE)="",
    "",
    VLOOKUP($A351,祝日!$A:$C,2,FALSE)
  ),
  ""
)</f>
        <v/>
      </c>
      <c r="D351" s="36" t="str">
        <f>IFERROR(
  IF(
    VLOOKUP($A351,祝日!$A:$C,3,FALSE)="",
    "",
    VLOOKUP($A351,祝日!$A:$C,3,FALSE)
  ),
  ""
)</f>
        <v/>
      </c>
    </row>
    <row r="352" spans="1:4" ht="15.75" x14ac:dyDescent="0.25">
      <c r="A352" s="35">
        <v>44181</v>
      </c>
      <c r="B352" s="60">
        <v>8</v>
      </c>
      <c r="C352" s="36" t="str">
        <f>IFERROR(
  IF(
    VLOOKUP($A352,祝日!$A:$C,2,FALSE)="",
    "",
    VLOOKUP($A352,祝日!$A:$C,2,FALSE)
  ),
  ""
)</f>
        <v/>
      </c>
      <c r="D352" s="36" t="str">
        <f>IFERROR(
  IF(
    VLOOKUP($A352,祝日!$A:$C,3,FALSE)="",
    "",
    VLOOKUP($A352,祝日!$A:$C,3,FALSE)
  ),
  ""
)</f>
        <v/>
      </c>
    </row>
    <row r="353" spans="1:4" ht="15.75" x14ac:dyDescent="0.25">
      <c r="A353" s="35">
        <v>44182</v>
      </c>
      <c r="B353" s="60">
        <v>8</v>
      </c>
      <c r="C353" s="36" t="str">
        <f>IFERROR(
  IF(
    VLOOKUP($A353,祝日!$A:$C,2,FALSE)="",
    "",
    VLOOKUP($A353,祝日!$A:$C,2,FALSE)
  ),
  ""
)</f>
        <v/>
      </c>
      <c r="D353" s="36" t="str">
        <f>IFERROR(
  IF(
    VLOOKUP($A353,祝日!$A:$C,3,FALSE)="",
    "",
    VLOOKUP($A353,祝日!$A:$C,3,FALSE)
  ),
  ""
)</f>
        <v/>
      </c>
    </row>
    <row r="354" spans="1:4" ht="15.75" x14ac:dyDescent="0.25">
      <c r="A354" s="35">
        <v>44183</v>
      </c>
      <c r="B354" s="60">
        <v>8</v>
      </c>
      <c r="C354" s="36" t="str">
        <f>IFERROR(
  IF(
    VLOOKUP($A354,祝日!$A:$C,2,FALSE)="",
    "",
    VLOOKUP($A354,祝日!$A:$C,2,FALSE)
  ),
  ""
)</f>
        <v/>
      </c>
      <c r="D354" s="36" t="str">
        <f>IFERROR(
  IF(
    VLOOKUP($A354,祝日!$A:$C,3,FALSE)="",
    "",
    VLOOKUP($A354,祝日!$A:$C,3,FALSE)
  ),
  ""
)</f>
        <v/>
      </c>
    </row>
    <row r="355" spans="1:4" ht="15.75" x14ac:dyDescent="0.25">
      <c r="A355" s="35">
        <v>44184</v>
      </c>
      <c r="B355" s="60">
        <v>8</v>
      </c>
      <c r="C355" s="36" t="str">
        <f>IFERROR(
  IF(
    VLOOKUP($A355,祝日!$A:$C,2,FALSE)="",
    "",
    VLOOKUP($A355,祝日!$A:$C,2,FALSE)
  ),
  ""
)</f>
        <v/>
      </c>
      <c r="D355" s="36" t="str">
        <f>IFERROR(
  IF(
    VLOOKUP($A355,祝日!$A:$C,3,FALSE)="",
    "",
    VLOOKUP($A355,祝日!$A:$C,3,FALSE)
  ),
  ""
)</f>
        <v/>
      </c>
    </row>
    <row r="356" spans="1:4" ht="15.75" x14ac:dyDescent="0.25">
      <c r="A356" s="35">
        <v>44185</v>
      </c>
      <c r="B356" s="60">
        <v>8</v>
      </c>
      <c r="C356" s="36" t="str">
        <f>IFERROR(
  IF(
    VLOOKUP($A356,祝日!$A:$C,2,FALSE)="",
    "",
    VLOOKUP($A356,祝日!$A:$C,2,FALSE)
  ),
  ""
)</f>
        <v/>
      </c>
      <c r="D356" s="36" t="str">
        <f>IFERROR(
  IF(
    VLOOKUP($A356,祝日!$A:$C,3,FALSE)="",
    "",
    VLOOKUP($A356,祝日!$A:$C,3,FALSE)
  ),
  ""
)</f>
        <v/>
      </c>
    </row>
    <row r="357" spans="1:4" ht="15.75" x14ac:dyDescent="0.25">
      <c r="A357" s="35">
        <v>44186</v>
      </c>
      <c r="B357" s="60">
        <v>8</v>
      </c>
      <c r="C357" s="36" t="str">
        <f>IFERROR(
  IF(
    VLOOKUP($A357,祝日!$A:$C,2,FALSE)="",
    "",
    VLOOKUP($A357,祝日!$A:$C,2,FALSE)
  ),
  ""
)</f>
        <v/>
      </c>
      <c r="D357" s="36" t="str">
        <f>IFERROR(
  IF(
    VLOOKUP($A357,祝日!$A:$C,3,FALSE)="",
    "",
    VLOOKUP($A357,祝日!$A:$C,3,FALSE)
  ),
  ""
)</f>
        <v/>
      </c>
    </row>
    <row r="358" spans="1:4" ht="15.75" x14ac:dyDescent="0.25">
      <c r="A358" s="35">
        <v>44187</v>
      </c>
      <c r="B358" s="60">
        <v>8</v>
      </c>
      <c r="C358" s="36" t="str">
        <f>IFERROR(
  IF(
    VLOOKUP($A358,祝日!$A:$C,2,FALSE)="",
    "",
    VLOOKUP($A358,祝日!$A:$C,2,FALSE)
  ),
  ""
)</f>
        <v/>
      </c>
      <c r="D358" s="36" t="str">
        <f>IFERROR(
  IF(
    VLOOKUP($A358,祝日!$A:$C,3,FALSE)="",
    "",
    VLOOKUP($A358,祝日!$A:$C,3,FALSE)
  ),
  ""
)</f>
        <v/>
      </c>
    </row>
    <row r="359" spans="1:4" ht="15.75" x14ac:dyDescent="0.25">
      <c r="A359" s="35">
        <v>44188</v>
      </c>
      <c r="B359" s="60">
        <v>8</v>
      </c>
      <c r="C359" s="36" t="str">
        <f>IFERROR(
  IF(
    VLOOKUP($A359,祝日!$A:$C,2,FALSE)="",
    "",
    VLOOKUP($A359,祝日!$A:$C,2,FALSE)
  ),
  ""
)</f>
        <v/>
      </c>
      <c r="D359" s="36" t="str">
        <f>IFERROR(
  IF(
    VLOOKUP($A359,祝日!$A:$C,3,FALSE)="",
    "",
    VLOOKUP($A359,祝日!$A:$C,3,FALSE)
  ),
  ""
)</f>
        <v/>
      </c>
    </row>
    <row r="360" spans="1:4" ht="15.75" x14ac:dyDescent="0.25">
      <c r="A360" s="35">
        <v>44189</v>
      </c>
      <c r="B360" s="60">
        <v>8</v>
      </c>
      <c r="C360" s="36" t="str">
        <f>IFERROR(
  IF(
    VLOOKUP($A360,祝日!$A:$C,2,FALSE)="",
    "",
    VLOOKUP($A360,祝日!$A:$C,2,FALSE)
  ),
  ""
)</f>
        <v/>
      </c>
      <c r="D360" s="36" t="str">
        <f>IFERROR(
  IF(
    VLOOKUP($A360,祝日!$A:$C,3,FALSE)="",
    "",
    VLOOKUP($A360,祝日!$A:$C,3,FALSE)
  ),
  ""
)</f>
        <v/>
      </c>
    </row>
    <row r="361" spans="1:4" ht="15.75" x14ac:dyDescent="0.25">
      <c r="A361" s="35">
        <v>44190</v>
      </c>
      <c r="B361" s="60">
        <v>8</v>
      </c>
      <c r="C361" s="36" t="str">
        <f>IFERROR(
  IF(
    VLOOKUP($A361,祝日!$A:$C,2,FALSE)="",
    "",
    VLOOKUP($A361,祝日!$A:$C,2,FALSE)
  ),
  ""
)</f>
        <v/>
      </c>
      <c r="D361" s="36" t="str">
        <f>IFERROR(
  IF(
    VLOOKUP($A361,祝日!$A:$C,3,FALSE)="",
    "",
    VLOOKUP($A361,祝日!$A:$C,3,FALSE)
  ),
  ""
)</f>
        <v/>
      </c>
    </row>
    <row r="362" spans="1:4" ht="15.75" x14ac:dyDescent="0.25">
      <c r="A362" s="35">
        <v>44191</v>
      </c>
      <c r="B362" s="60">
        <v>8</v>
      </c>
      <c r="C362" s="36" t="str">
        <f>IFERROR(
  IF(
    VLOOKUP($A362,祝日!$A:$C,2,FALSE)="",
    "",
    VLOOKUP($A362,祝日!$A:$C,2,FALSE)
  ),
  ""
)</f>
        <v/>
      </c>
      <c r="D362" s="36" t="str">
        <f>IFERROR(
  IF(
    VLOOKUP($A362,祝日!$A:$C,3,FALSE)="",
    "",
    VLOOKUP($A362,祝日!$A:$C,3,FALSE)
  ),
  ""
)</f>
        <v/>
      </c>
    </row>
    <row r="363" spans="1:4" ht="15.75" x14ac:dyDescent="0.25">
      <c r="A363" s="35">
        <v>44192</v>
      </c>
      <c r="B363" s="60">
        <v>8</v>
      </c>
      <c r="C363" s="36" t="str">
        <f>IFERROR(
  IF(
    VLOOKUP($A363,祝日!$A:$C,2,FALSE)="",
    "",
    VLOOKUP($A363,祝日!$A:$C,2,FALSE)
  ),
  ""
)</f>
        <v/>
      </c>
      <c r="D363" s="36" t="str">
        <f>IFERROR(
  IF(
    VLOOKUP($A363,祝日!$A:$C,3,FALSE)="",
    "",
    VLOOKUP($A363,祝日!$A:$C,3,FALSE)
  ),
  ""
)</f>
        <v/>
      </c>
    </row>
    <row r="364" spans="1:4" ht="15.75" x14ac:dyDescent="0.25">
      <c r="A364" s="35">
        <v>44193</v>
      </c>
      <c r="B364" s="60">
        <v>8</v>
      </c>
      <c r="C364" s="36" t="str">
        <f>IFERROR(
  IF(
    VLOOKUP($A364,祝日!$A:$C,2,FALSE)="",
    "",
    VLOOKUP($A364,祝日!$A:$C,2,FALSE)
  ),
  ""
)</f>
        <v/>
      </c>
      <c r="D364" s="36" t="str">
        <f>IFERROR(
  IF(
    VLOOKUP($A364,祝日!$A:$C,3,FALSE)="",
    "",
    VLOOKUP($A364,祝日!$A:$C,3,FALSE)
  ),
  ""
)</f>
        <v/>
      </c>
    </row>
    <row r="365" spans="1:4" ht="15.75" x14ac:dyDescent="0.25">
      <c r="A365" s="35">
        <v>44194</v>
      </c>
      <c r="B365" s="60">
        <v>8</v>
      </c>
      <c r="C365" s="36" t="str">
        <f>IFERROR(
  IF(
    VLOOKUP($A365,祝日!$A:$C,2,FALSE)="",
    "",
    VLOOKUP($A365,祝日!$A:$C,2,FALSE)
  ),
  ""
)</f>
        <v/>
      </c>
      <c r="D365" s="36" t="str">
        <f>IFERROR(
  IF(
    VLOOKUP($A365,祝日!$A:$C,3,FALSE)="",
    "",
    VLOOKUP($A365,祝日!$A:$C,3,FALSE)
  ),
  ""
)</f>
        <v/>
      </c>
    </row>
    <row r="366" spans="1:4" ht="15.75" x14ac:dyDescent="0.25">
      <c r="A366" s="35">
        <v>44195</v>
      </c>
      <c r="B366" s="60">
        <v>8</v>
      </c>
      <c r="C366" s="36" t="str">
        <f>IFERROR(
  IF(
    VLOOKUP($A366,祝日!$A:$C,2,FALSE)="",
    "",
    VLOOKUP($A366,祝日!$A:$C,2,FALSE)
  ),
  ""
)</f>
        <v/>
      </c>
      <c r="D366" s="36" t="str">
        <f>IFERROR(
  IF(
    VLOOKUP($A366,祝日!$A:$C,3,FALSE)="",
    "",
    VLOOKUP($A366,祝日!$A:$C,3,FALSE)
  ),
  ""
)</f>
        <v/>
      </c>
    </row>
    <row r="367" spans="1:4" ht="15.75" x14ac:dyDescent="0.25">
      <c r="A367" s="35">
        <v>44196</v>
      </c>
      <c r="B367" s="60">
        <v>8</v>
      </c>
      <c r="C367" s="36" t="str">
        <f>IFERROR(
  IF(
    VLOOKUP($A367,祝日!$A:$C,2,FALSE)="",
    "",
    VLOOKUP($A367,祝日!$A:$C,2,FALSE)
  ),
  ""
)</f>
        <v/>
      </c>
      <c r="D367" s="36" t="str">
        <f>IFERROR(
  IF(
    VLOOKUP($A367,祝日!$A:$C,3,FALSE)="",
    "",
    VLOOKUP($A367,祝日!$A:$C,3,FALSE)
  ),
  ""
)</f>
        <v/>
      </c>
    </row>
    <row r="368" spans="1:4" ht="15.75" x14ac:dyDescent="0.25">
      <c r="A368" s="35"/>
      <c r="B368" s="35"/>
    </row>
    <row r="369" spans="1:2" ht="15.75" x14ac:dyDescent="0.25">
      <c r="A369" s="35"/>
      <c r="B369" s="35"/>
    </row>
    <row r="370" spans="1:2" ht="15.75" x14ac:dyDescent="0.25">
      <c r="A370" s="35"/>
      <c r="B370" s="35"/>
    </row>
    <row r="371" spans="1:2" ht="15.75" x14ac:dyDescent="0.25">
      <c r="A371" s="35"/>
      <c r="B371" s="35"/>
    </row>
    <row r="372" spans="1:2" ht="15.75" x14ac:dyDescent="0.25">
      <c r="A372" s="35"/>
      <c r="B372" s="35"/>
    </row>
    <row r="373" spans="1:2" ht="15.75" x14ac:dyDescent="0.25">
      <c r="A373" s="35"/>
      <c r="B373" s="35"/>
    </row>
    <row r="374" spans="1:2" ht="15.75" x14ac:dyDescent="0.25">
      <c r="A374" s="35"/>
      <c r="B374" s="35"/>
    </row>
    <row r="375" spans="1:2" ht="15.75" x14ac:dyDescent="0.25">
      <c r="A375" s="35"/>
      <c r="B375" s="35"/>
    </row>
    <row r="376" spans="1:2" ht="15.75" x14ac:dyDescent="0.25">
      <c r="A376" s="35"/>
      <c r="B376" s="35"/>
    </row>
    <row r="377" spans="1:2" ht="15.75" x14ac:dyDescent="0.25">
      <c r="A377" s="35"/>
      <c r="B377" s="35"/>
    </row>
    <row r="378" spans="1:2" ht="15.75" x14ac:dyDescent="0.25">
      <c r="A378" s="35"/>
      <c r="B378" s="35"/>
    </row>
    <row r="379" spans="1:2" ht="15.75" x14ac:dyDescent="0.25">
      <c r="A379" s="35"/>
      <c r="B379" s="35"/>
    </row>
    <row r="380" spans="1:2" ht="15.75" x14ac:dyDescent="0.25">
      <c r="A380" s="35"/>
      <c r="B380" s="35"/>
    </row>
    <row r="381" spans="1:2" ht="15.75" x14ac:dyDescent="0.25">
      <c r="A381" s="35"/>
      <c r="B381" s="35"/>
    </row>
    <row r="382" spans="1:2" ht="15.75" x14ac:dyDescent="0.25">
      <c r="A382" s="35"/>
      <c r="B382" s="35"/>
    </row>
    <row r="383" spans="1:2" ht="15.75" x14ac:dyDescent="0.25">
      <c r="A383" s="35"/>
      <c r="B383" s="35"/>
    </row>
    <row r="384" spans="1:2" ht="15.75" x14ac:dyDescent="0.25">
      <c r="A384" s="35"/>
      <c r="B384" s="35"/>
    </row>
    <row r="385" spans="1:2" ht="15.75" x14ac:dyDescent="0.25">
      <c r="A385" s="35"/>
      <c r="B385" s="35"/>
    </row>
    <row r="386" spans="1:2" ht="15.75" x14ac:dyDescent="0.25">
      <c r="A386" s="35"/>
      <c r="B386" s="35"/>
    </row>
    <row r="387" spans="1:2" ht="15.75" x14ac:dyDescent="0.25">
      <c r="A387" s="35"/>
      <c r="B387" s="35"/>
    </row>
    <row r="388" spans="1:2" ht="15.75" x14ac:dyDescent="0.25">
      <c r="A388" s="35"/>
      <c r="B388" s="35"/>
    </row>
    <row r="389" spans="1:2" ht="15.75" x14ac:dyDescent="0.25">
      <c r="A389" s="35"/>
      <c r="B389" s="35"/>
    </row>
    <row r="390" spans="1:2" ht="15.75" x14ac:dyDescent="0.25">
      <c r="A390" s="35"/>
      <c r="B390" s="35"/>
    </row>
    <row r="391" spans="1:2" ht="15.75" x14ac:dyDescent="0.25">
      <c r="A391" s="35"/>
      <c r="B391" s="35"/>
    </row>
    <row r="392" spans="1:2" ht="15.75" x14ac:dyDescent="0.25">
      <c r="A392" s="35"/>
      <c r="B392" s="35"/>
    </row>
    <row r="393" spans="1:2" ht="15.75" x14ac:dyDescent="0.25">
      <c r="A393" s="35"/>
      <c r="B393" s="35"/>
    </row>
    <row r="394" spans="1:2" ht="15.75" x14ac:dyDescent="0.25">
      <c r="A394" s="35"/>
      <c r="B394" s="35"/>
    </row>
    <row r="395" spans="1:2" ht="15.75" x14ac:dyDescent="0.25">
      <c r="A395" s="35"/>
      <c r="B395" s="35"/>
    </row>
    <row r="396" spans="1:2" ht="15.75" x14ac:dyDescent="0.25">
      <c r="A396" s="35"/>
      <c r="B396" s="35"/>
    </row>
    <row r="397" spans="1:2" ht="15.75" x14ac:dyDescent="0.25">
      <c r="A397" s="35"/>
      <c r="B397" s="35"/>
    </row>
    <row r="398" spans="1:2" ht="15.75" x14ac:dyDescent="0.25">
      <c r="A398" s="35"/>
      <c r="B398" s="35"/>
    </row>
    <row r="399" spans="1:2" ht="15.75" x14ac:dyDescent="0.25">
      <c r="A399" s="35"/>
      <c r="B399" s="35"/>
    </row>
    <row r="400" spans="1:2" ht="15.75" x14ac:dyDescent="0.25">
      <c r="A400" s="35"/>
      <c r="B400" s="35"/>
    </row>
    <row r="401" spans="1:2" ht="15.75" x14ac:dyDescent="0.25">
      <c r="A401" s="35"/>
      <c r="B401" s="35"/>
    </row>
    <row r="402" spans="1:2" ht="15.75" x14ac:dyDescent="0.25">
      <c r="A402" s="35"/>
      <c r="B402" s="35"/>
    </row>
    <row r="403" spans="1:2" ht="15.75" x14ac:dyDescent="0.25">
      <c r="A403" s="35"/>
      <c r="B403" s="35"/>
    </row>
    <row r="404" spans="1:2" ht="15.75" x14ac:dyDescent="0.25">
      <c r="A404" s="35"/>
      <c r="B404" s="35"/>
    </row>
    <row r="405" spans="1:2" ht="15.75" x14ac:dyDescent="0.25">
      <c r="A405" s="35"/>
      <c r="B405" s="35"/>
    </row>
    <row r="406" spans="1:2" ht="15.75" x14ac:dyDescent="0.25">
      <c r="A406" s="35"/>
      <c r="B406" s="35"/>
    </row>
    <row r="407" spans="1:2" ht="15.75" x14ac:dyDescent="0.25">
      <c r="A407" s="35"/>
      <c r="B407" s="35"/>
    </row>
    <row r="408" spans="1:2" ht="15.75" x14ac:dyDescent="0.25">
      <c r="A408" s="35"/>
      <c r="B408" s="35"/>
    </row>
    <row r="409" spans="1:2" ht="15.75" x14ac:dyDescent="0.25">
      <c r="A409" s="35"/>
      <c r="B409" s="35"/>
    </row>
    <row r="410" spans="1:2" ht="15.75" x14ac:dyDescent="0.25">
      <c r="A410" s="35"/>
      <c r="B410" s="35"/>
    </row>
    <row r="411" spans="1:2" ht="15.75" x14ac:dyDescent="0.25">
      <c r="A411" s="35"/>
      <c r="B411" s="35"/>
    </row>
    <row r="412" spans="1:2" ht="15.75" x14ac:dyDescent="0.25">
      <c r="A412" s="35"/>
      <c r="B412" s="35"/>
    </row>
  </sheetData>
  <phoneticPr fontId="21"/>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14CF6184-1DE6-4AFF-84C7-61EBDE9BC3B4}">
            <xm:f>OR(5&lt;WEEKDAY($A2,2),0&lt;COUNTIF(祝日!$A:$A,$A2))</xm:f>
            <x14:dxf>
              <font>
                <color theme="0"/>
              </font>
              <fill>
                <patternFill>
                  <bgColor rgb="FFFF0000"/>
                </patternFill>
              </fill>
            </x14:dxf>
          </x14:cfRule>
          <xm:sqref>A2:B367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Gantt</vt:lpstr>
      <vt:lpstr>祝日</vt:lpstr>
      <vt:lpstr>Calendar</vt:lpstr>
      <vt:lpstr>Calendar (土日だけ休み)</vt:lpstr>
      <vt:lpstr>Calendar (休みなし)</vt:lpstr>
      <vt:lpstr>Project_Start</vt:lpstr>
      <vt:lpstr>Scrolling_Increment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2018-07-14T00:37:31Z</dcterms:created>
  <dcterms:modified xsi:type="dcterms:W3CDTF">2020-06-21T09:25:22Z</dcterms:modified>
</cp:coreProperties>
</file>